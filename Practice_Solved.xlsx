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F3842A2-294E-BD40-90D2-57E929C1C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Lookup" sheetId="2" r:id="rId2"/>
    <sheet name="Answers" sheetId="3" r:id="rId3"/>
    <sheet name="PivotTables" sheetId="4" r:id="rId4"/>
    <sheet name="SortedData" sheetId="5" r:id="rId5"/>
    <sheet name="NorthWestCorporate" sheetId="6" r:id="rId6"/>
  </sheets>
  <definedNames>
    <definedName name="_xlnm._FilterDatabase" localSheetId="0" hidden="1">SalesData!$A$1:$U$21</definedName>
  </definedNames>
  <calcPr calcId="191028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19" i="1"/>
  <c r="Q20" i="1"/>
  <c r="Q18" i="1"/>
  <c r="Q16" i="1"/>
  <c r="Q17" i="1"/>
  <c r="Q15" i="1"/>
  <c r="Q12" i="1"/>
  <c r="Q13" i="1"/>
  <c r="Q11" i="1"/>
  <c r="Q8" i="1"/>
  <c r="Q14" i="1"/>
  <c r="Q10" i="1"/>
  <c r="Q4" i="1"/>
  <c r="Q3" i="1"/>
  <c r="Q5" i="1"/>
  <c r="Q2" i="1"/>
  <c r="Q9" i="1"/>
  <c r="Q7" i="1"/>
  <c r="Q6" i="1"/>
  <c r="K5" i="6"/>
  <c r="L5" i="6"/>
  <c r="K4" i="6"/>
  <c r="L4" i="6"/>
  <c r="K3" i="6"/>
  <c r="L3" i="6"/>
  <c r="K2" i="6"/>
  <c r="L2" i="6"/>
  <c r="U21" i="5"/>
  <c r="T21" i="5"/>
  <c r="S21" i="5"/>
  <c r="Q21" i="5"/>
  <c r="R6" i="5"/>
  <c r="P21" i="5"/>
  <c r="O21" i="5"/>
  <c r="K21" i="5"/>
  <c r="L6" i="5"/>
  <c r="U20" i="5"/>
  <c r="T20" i="5"/>
  <c r="S20" i="5"/>
  <c r="Q20" i="5"/>
  <c r="R14" i="5"/>
  <c r="P20" i="5"/>
  <c r="O20" i="5"/>
  <c r="L20" i="5"/>
  <c r="K20" i="5"/>
  <c r="L14" i="5"/>
  <c r="U19" i="5"/>
  <c r="T19" i="5"/>
  <c r="S19" i="5"/>
  <c r="Q19" i="5"/>
  <c r="R20" i="5"/>
  <c r="P19" i="5"/>
  <c r="O19" i="5"/>
  <c r="K19" i="5"/>
  <c r="U18" i="5"/>
  <c r="T18" i="5"/>
  <c r="S18" i="5"/>
  <c r="Q18" i="5"/>
  <c r="R8" i="5"/>
  <c r="P18" i="5"/>
  <c r="O18" i="5"/>
  <c r="K18" i="5"/>
  <c r="L8" i="5"/>
  <c r="U17" i="5"/>
  <c r="T17" i="5"/>
  <c r="S17" i="5"/>
  <c r="Q17" i="5"/>
  <c r="R2" i="5"/>
  <c r="P17" i="5"/>
  <c r="O17" i="5"/>
  <c r="K17" i="5"/>
  <c r="L2" i="5"/>
  <c r="U16" i="5"/>
  <c r="T16" i="5"/>
  <c r="S16" i="5"/>
  <c r="Q16" i="5"/>
  <c r="R16" i="5"/>
  <c r="P16" i="5"/>
  <c r="O16" i="5"/>
  <c r="K16" i="5"/>
  <c r="L16" i="5"/>
  <c r="U15" i="5"/>
  <c r="T15" i="5"/>
  <c r="S15" i="5"/>
  <c r="Q15" i="5"/>
  <c r="R19" i="5"/>
  <c r="P15" i="5"/>
  <c r="O15" i="5"/>
  <c r="K15" i="5"/>
  <c r="L19" i="5"/>
  <c r="U14" i="5"/>
  <c r="T14" i="5"/>
  <c r="S14" i="5"/>
  <c r="Q14" i="5"/>
  <c r="P14" i="5"/>
  <c r="O14" i="5"/>
  <c r="K14" i="5"/>
  <c r="U13" i="5"/>
  <c r="T13" i="5"/>
  <c r="S13" i="5"/>
  <c r="Q13" i="5"/>
  <c r="R3" i="5"/>
  <c r="P13" i="5"/>
  <c r="O13" i="5"/>
  <c r="K13" i="5"/>
  <c r="L3" i="5"/>
  <c r="U12" i="5"/>
  <c r="T12" i="5"/>
  <c r="S12" i="5"/>
  <c r="Q12" i="5"/>
  <c r="R12" i="5"/>
  <c r="P12" i="5"/>
  <c r="O12" i="5"/>
  <c r="K12" i="5"/>
  <c r="L12" i="5"/>
  <c r="U11" i="5"/>
  <c r="T11" i="5"/>
  <c r="S11" i="5"/>
  <c r="Q11" i="5"/>
  <c r="R21" i="5"/>
  <c r="P11" i="5"/>
  <c r="O11" i="5"/>
  <c r="K11" i="5"/>
  <c r="L21" i="5"/>
  <c r="U10" i="5"/>
  <c r="T10" i="5"/>
  <c r="S10" i="5"/>
  <c r="R10" i="5"/>
  <c r="Q10" i="5"/>
  <c r="P10" i="5"/>
  <c r="O10" i="5"/>
  <c r="L10" i="5"/>
  <c r="K10" i="5"/>
  <c r="L9" i="5"/>
  <c r="U9" i="5"/>
  <c r="T9" i="5"/>
  <c r="S9" i="5"/>
  <c r="R9" i="5"/>
  <c r="Q9" i="5"/>
  <c r="R5" i="5"/>
  <c r="P9" i="5"/>
  <c r="O9" i="5"/>
  <c r="K9" i="5"/>
  <c r="L5" i="5"/>
  <c r="U8" i="5"/>
  <c r="T8" i="5"/>
  <c r="S8" i="5"/>
  <c r="Q8" i="5"/>
  <c r="R13" i="5"/>
  <c r="P8" i="5"/>
  <c r="O8" i="5"/>
  <c r="K8" i="5"/>
  <c r="L13" i="5"/>
  <c r="U7" i="5"/>
  <c r="T7" i="5"/>
  <c r="S7" i="5"/>
  <c r="Q7" i="5"/>
  <c r="R17" i="5"/>
  <c r="P7" i="5"/>
  <c r="O7" i="5"/>
  <c r="K7" i="5"/>
  <c r="L17" i="5"/>
  <c r="U6" i="5"/>
  <c r="T6" i="5"/>
  <c r="S6" i="5"/>
  <c r="Q6" i="5"/>
  <c r="R11" i="5"/>
  <c r="P6" i="5"/>
  <c r="O6" i="5"/>
  <c r="K6" i="5"/>
  <c r="L11" i="5"/>
  <c r="U5" i="5"/>
  <c r="T5" i="5"/>
  <c r="S5" i="5"/>
  <c r="Q5" i="5"/>
  <c r="R4" i="5"/>
  <c r="P5" i="5"/>
  <c r="O5" i="5"/>
  <c r="K5" i="5"/>
  <c r="L4" i="5"/>
  <c r="U4" i="5"/>
  <c r="T4" i="5"/>
  <c r="S4" i="5"/>
  <c r="Q4" i="5"/>
  <c r="R15" i="5"/>
  <c r="P4" i="5"/>
  <c r="O4" i="5"/>
  <c r="K4" i="5"/>
  <c r="L15" i="5"/>
  <c r="U3" i="5"/>
  <c r="T3" i="5"/>
  <c r="S3" i="5"/>
  <c r="Q3" i="5"/>
  <c r="R18" i="5"/>
  <c r="P3" i="5"/>
  <c r="O3" i="5"/>
  <c r="K3" i="5"/>
  <c r="L18" i="5"/>
  <c r="U2" i="5"/>
  <c r="T2" i="5"/>
  <c r="S2" i="5"/>
  <c r="Q2" i="5"/>
  <c r="R7" i="5"/>
  <c r="P2" i="5"/>
  <c r="O2" i="5"/>
  <c r="K2" i="5"/>
  <c r="L7" i="5"/>
  <c r="C29" i="3"/>
  <c r="C28" i="3"/>
  <c r="C27" i="3"/>
  <c r="C26" i="3"/>
  <c r="C23" i="3"/>
  <c r="C22" i="3"/>
  <c r="C21" i="3"/>
  <c r="C20" i="3"/>
  <c r="D19" i="3"/>
  <c r="C19" i="3"/>
  <c r="D17" i="3"/>
  <c r="C17" i="3"/>
  <c r="D16" i="3"/>
  <c r="C16" i="3"/>
  <c r="D13" i="3"/>
  <c r="C13" i="3"/>
  <c r="C11" i="3"/>
  <c r="C10" i="3"/>
  <c r="U21" i="1"/>
  <c r="T21" i="1"/>
  <c r="S21" i="1"/>
  <c r="R21" i="1"/>
  <c r="P21" i="1"/>
  <c r="O21" i="1"/>
  <c r="K21" i="1"/>
  <c r="L21" i="1"/>
  <c r="U20" i="1"/>
  <c r="T20" i="1"/>
  <c r="S20" i="1"/>
  <c r="R20" i="1"/>
  <c r="P20" i="1"/>
  <c r="O20" i="1"/>
  <c r="K20" i="1"/>
  <c r="L20" i="1"/>
  <c r="U19" i="1"/>
  <c r="T19" i="1"/>
  <c r="S19" i="1"/>
  <c r="R19" i="1"/>
  <c r="P19" i="1"/>
  <c r="O19" i="1"/>
  <c r="K19" i="1"/>
  <c r="L19" i="1"/>
  <c r="U18" i="1"/>
  <c r="T18" i="1"/>
  <c r="S18" i="1"/>
  <c r="R18" i="1"/>
  <c r="P18" i="1"/>
  <c r="O18" i="1"/>
  <c r="K18" i="1"/>
  <c r="L18" i="1"/>
  <c r="U17" i="1"/>
  <c r="T17" i="1"/>
  <c r="S17" i="1"/>
  <c r="R17" i="1"/>
  <c r="P17" i="1"/>
  <c r="O17" i="1"/>
  <c r="K17" i="1"/>
  <c r="L17" i="1"/>
  <c r="U16" i="1"/>
  <c r="T16" i="1"/>
  <c r="S16" i="1"/>
  <c r="R16" i="1"/>
  <c r="P16" i="1"/>
  <c r="O16" i="1"/>
  <c r="K16" i="1"/>
  <c r="L16" i="1"/>
  <c r="U15" i="1"/>
  <c r="T15" i="1"/>
  <c r="S15" i="1"/>
  <c r="R15" i="1"/>
  <c r="P15" i="1"/>
  <c r="O15" i="1"/>
  <c r="K15" i="1"/>
  <c r="L15" i="1"/>
  <c r="U14" i="1"/>
  <c r="T14" i="1"/>
  <c r="S14" i="1"/>
  <c r="R14" i="1"/>
  <c r="P14" i="1"/>
  <c r="O14" i="1"/>
  <c r="K14" i="1"/>
  <c r="L14" i="1"/>
  <c r="U13" i="1"/>
  <c r="T13" i="1"/>
  <c r="S13" i="1"/>
  <c r="R13" i="1"/>
  <c r="P13" i="1"/>
  <c r="O13" i="1"/>
  <c r="K13" i="1"/>
  <c r="L13" i="1"/>
  <c r="U12" i="1"/>
  <c r="T12" i="1"/>
  <c r="S12" i="1"/>
  <c r="R12" i="1"/>
  <c r="P12" i="1"/>
  <c r="O12" i="1"/>
  <c r="K12" i="1"/>
  <c r="L12" i="1"/>
  <c r="U11" i="1"/>
  <c r="T11" i="1"/>
  <c r="S11" i="1"/>
  <c r="R11" i="1"/>
  <c r="P11" i="1"/>
  <c r="O11" i="1"/>
  <c r="K11" i="1"/>
  <c r="L11" i="1"/>
  <c r="U10" i="1"/>
  <c r="T10" i="1"/>
  <c r="S10" i="1"/>
  <c r="R10" i="1"/>
  <c r="P10" i="1"/>
  <c r="O10" i="1"/>
  <c r="K10" i="1"/>
  <c r="L10" i="1"/>
  <c r="U9" i="1"/>
  <c r="T9" i="1"/>
  <c r="S9" i="1"/>
  <c r="R9" i="1"/>
  <c r="P9" i="1"/>
  <c r="O9" i="1"/>
  <c r="K9" i="1"/>
  <c r="L9" i="1"/>
  <c r="U8" i="1"/>
  <c r="T8" i="1"/>
  <c r="S8" i="1"/>
  <c r="R8" i="1"/>
  <c r="P8" i="1"/>
  <c r="O8" i="1"/>
  <c r="K8" i="1"/>
  <c r="L8" i="1"/>
  <c r="U7" i="1"/>
  <c r="T7" i="1"/>
  <c r="S7" i="1"/>
  <c r="R7" i="1"/>
  <c r="P7" i="1"/>
  <c r="O7" i="1"/>
  <c r="K7" i="1"/>
  <c r="L7" i="1"/>
  <c r="U6" i="1"/>
  <c r="T6" i="1"/>
  <c r="S6" i="1"/>
  <c r="R6" i="1"/>
  <c r="P6" i="1"/>
  <c r="O6" i="1"/>
  <c r="K6" i="1"/>
  <c r="L6" i="1"/>
  <c r="U5" i="1"/>
  <c r="T5" i="1"/>
  <c r="S5" i="1"/>
  <c r="R5" i="1"/>
  <c r="P5" i="1"/>
  <c r="O5" i="1"/>
  <c r="K5" i="1"/>
  <c r="L5" i="1"/>
  <c r="U4" i="1"/>
  <c r="T4" i="1"/>
  <c r="S4" i="1"/>
  <c r="R4" i="1"/>
  <c r="P4" i="1"/>
  <c r="O4" i="1"/>
  <c r="K4" i="1"/>
  <c r="L4" i="1"/>
  <c r="U3" i="1"/>
  <c r="T3" i="1"/>
  <c r="S3" i="1"/>
  <c r="R3" i="1"/>
  <c r="P3" i="1"/>
  <c r="O3" i="1"/>
  <c r="K3" i="1"/>
  <c r="L3" i="1"/>
  <c r="U2" i="1"/>
  <c r="T2" i="1"/>
  <c r="S2" i="1"/>
  <c r="R2" i="1"/>
  <c r="P2" i="1"/>
  <c r="O2" i="1"/>
  <c r="K2" i="1"/>
  <c r="L2" i="1"/>
  <c r="N14" i="5"/>
  <c r="M14" i="5"/>
  <c r="M10" i="5"/>
  <c r="N10" i="5"/>
  <c r="N9" i="5"/>
  <c r="M9" i="5"/>
  <c r="M11" i="5"/>
  <c r="N11" i="5"/>
  <c r="N13" i="5"/>
  <c r="M13" i="5"/>
  <c r="N2" i="5"/>
  <c r="M2" i="5"/>
  <c r="M7" i="5"/>
  <c r="N7" i="5"/>
  <c r="M16" i="5"/>
  <c r="N16" i="5"/>
  <c r="M19" i="5"/>
  <c r="N19" i="5"/>
  <c r="M20" i="5"/>
  <c r="N20" i="5"/>
  <c r="N3" i="5"/>
  <c r="M3" i="5"/>
  <c r="M18" i="5"/>
  <c r="N18" i="5"/>
  <c r="M12" i="5"/>
  <c r="N12" i="5"/>
  <c r="N21" i="5"/>
  <c r="M21" i="5"/>
  <c r="M6" i="5"/>
  <c r="N6" i="5"/>
  <c r="N5" i="5"/>
  <c r="M5" i="5"/>
  <c r="M4" i="5"/>
  <c r="N4" i="5"/>
  <c r="M15" i="5"/>
  <c r="N15" i="5"/>
  <c r="M8" i="5"/>
  <c r="N8" i="5"/>
  <c r="M17" i="5"/>
  <c r="N17" i="5"/>
  <c r="M21" i="1"/>
  <c r="N21" i="1"/>
  <c r="M20" i="1"/>
  <c r="N20" i="1"/>
  <c r="M19" i="1"/>
  <c r="N19" i="1"/>
  <c r="M18" i="1"/>
  <c r="N18" i="1"/>
  <c r="M17" i="1"/>
  <c r="N17" i="1"/>
  <c r="M16" i="1"/>
  <c r="N16" i="1"/>
  <c r="M15" i="1"/>
  <c r="N15" i="1"/>
  <c r="M14" i="1"/>
  <c r="N14" i="1"/>
  <c r="N13" i="1"/>
  <c r="M13" i="1"/>
  <c r="M12" i="1"/>
  <c r="N12" i="1"/>
  <c r="N11" i="1"/>
  <c r="M11" i="1"/>
  <c r="M10" i="1"/>
  <c r="N10" i="1"/>
  <c r="N9" i="1"/>
  <c r="M9" i="1"/>
  <c r="M8" i="1"/>
  <c r="N8" i="1"/>
  <c r="M7" i="1"/>
  <c r="N7" i="1"/>
  <c r="N6" i="1"/>
  <c r="M6" i="1"/>
  <c r="M5" i="1"/>
  <c r="N5" i="1"/>
  <c r="M4" i="1"/>
  <c r="N4" i="1"/>
  <c r="M3" i="1"/>
  <c r="N3" i="1"/>
  <c r="M2" i="1"/>
  <c r="N2" i="1"/>
  <c r="C18" i="3"/>
  <c r="D18" i="3"/>
</calcChain>
</file>

<file path=xl/sharedStrings.xml><?xml version="1.0" encoding="utf-8"?>
<sst xmlns="http://schemas.openxmlformats.org/spreadsheetml/2006/main" count="518" uniqueCount="131">
  <si>
    <t>Order ID</t>
  </si>
  <si>
    <t>Date</t>
  </si>
  <si>
    <t>Region</t>
  </si>
  <si>
    <t>Salesperson</t>
  </si>
  <si>
    <t>Product</t>
  </si>
  <si>
    <t>Category</t>
  </si>
  <si>
    <t>Units</t>
  </si>
  <si>
    <t>Unit Price</t>
  </si>
  <si>
    <t>Discount</t>
  </si>
  <si>
    <t>Customer Type</t>
  </si>
  <si>
    <t>Gross Sales</t>
  </si>
  <si>
    <t>Net Sales</t>
  </si>
  <si>
    <t>Performance</t>
  </si>
  <si>
    <t>Rounded Net Sales</t>
  </si>
  <si>
    <t>Order Prefix</t>
  </si>
  <si>
    <t>Month No.</t>
  </si>
  <si>
    <t>Standard Price</t>
  </si>
  <si>
    <t>Price Check</t>
  </si>
  <si>
    <t>Customer Class</t>
  </si>
  <si>
    <t>Corp 5%+</t>
  </si>
  <si>
    <t>North or South</t>
  </si>
  <si>
    <t>O1001</t>
  </si>
  <si>
    <t>North</t>
  </si>
  <si>
    <t>Aarav</t>
  </si>
  <si>
    <t>Laptop</t>
  </si>
  <si>
    <t>Electronics</t>
  </si>
  <si>
    <t>Retail</t>
  </si>
  <si>
    <t>O1002</t>
  </si>
  <si>
    <t>West</t>
  </si>
  <si>
    <t>Diya</t>
  </si>
  <si>
    <t>Monitor</t>
  </si>
  <si>
    <t>Corporate</t>
  </si>
  <si>
    <t>O1003</t>
  </si>
  <si>
    <t>South</t>
  </si>
  <si>
    <t>Kabir</t>
  </si>
  <si>
    <t>Keyboard</t>
  </si>
  <si>
    <t>Accessories</t>
  </si>
  <si>
    <t>O1004</t>
  </si>
  <si>
    <t>East</t>
  </si>
  <si>
    <t>Meera</t>
  </si>
  <si>
    <t>Printer</t>
  </si>
  <si>
    <t>Office</t>
  </si>
  <si>
    <t>O1005</t>
  </si>
  <si>
    <t>Mouse</t>
  </si>
  <si>
    <t>O1006</t>
  </si>
  <si>
    <t>Riya</t>
  </si>
  <si>
    <t>O1007</t>
  </si>
  <si>
    <t>O1008</t>
  </si>
  <si>
    <t>O1009</t>
  </si>
  <si>
    <t>Zoya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</si>
  <si>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</si>
  <si>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</si>
  <si>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</si>
  <si>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</si>
  <si>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</si>
  <si>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</si>
  <si>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</si>
  <si>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</si>
  <si>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</si>
  <si>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</si>
  <si>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</si>
  <si>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Section</t>
  </si>
  <si>
    <t>Question</t>
  </si>
  <si>
    <t>Formula / Method</t>
  </si>
  <si>
    <t>Result</t>
  </si>
  <si>
    <t>A</t>
  </si>
  <si>
    <t>1</t>
  </si>
  <si>
    <t>Excel Table name</t>
  </si>
  <si>
    <t>SalesData</t>
  </si>
  <si>
    <t>2</t>
  </si>
  <si>
    <t>Date = dd-mmm-yyyy; Unit Price = Currency</t>
  </si>
  <si>
    <t>Applied</t>
  </si>
  <si>
    <t>3</t>
  </si>
  <si>
    <t>Freeze Panes = A2</t>
  </si>
  <si>
    <t>4</t>
  </si>
  <si>
    <t>Sort Region A→Z, then Net Sales Largest→Smallest</t>
  </si>
  <si>
    <t>Applied in Sorted Data sheet</t>
  </si>
  <si>
    <t>5</t>
  </si>
  <si>
    <t>Filter Customer Type="Corporate", Region North/West</t>
  </si>
  <si>
    <t>North &amp; West corporate rows</t>
  </si>
  <si>
    <t>6</t>
  </si>
  <si>
    <t>Conditional format Unit Price &gt; 50,000</t>
  </si>
  <si>
    <t>7</t>
  </si>
  <si>
    <t>Conditional format Discount &gt;= 10%</t>
  </si>
  <si>
    <t>8</t>
  </si>
  <si>
    <t>Check duplicate Order IDs</t>
  </si>
  <si>
    <t>No duplicates</t>
  </si>
  <si>
    <t>B</t>
  </si>
  <si>
    <t>See SalesData!K</t>
  </si>
  <si>
    <t>See SalesData!L</t>
  </si>
  <si>
    <t>20 / 20</t>
  </si>
  <si>
    <t>9</t>
  </si>
  <si>
    <t>10</t>
  </si>
  <si>
    <t>11</t>
  </si>
  <si>
    <t>See SalesData!M</t>
  </si>
  <si>
    <t>12</t>
  </si>
  <si>
    <t>See SalesData!N</t>
  </si>
  <si>
    <t>13</t>
  </si>
  <si>
    <t>See SalesData!O</t>
  </si>
  <si>
    <t>14</t>
  </si>
  <si>
    <t>See SalesData!P</t>
  </si>
  <si>
    <t>C</t>
  </si>
  <si>
    <t>XLOOKUP Product→Category</t>
  </si>
  <si>
    <t>Lookup sheet + SalesData</t>
  </si>
  <si>
    <t>XLOOKUP Product→Standard Price</t>
  </si>
  <si>
    <t>See SalesData!R</t>
  </si>
  <si>
    <t>See SalesData!S</t>
  </si>
  <si>
    <t>See SalesData!T</t>
  </si>
  <si>
    <t>See SalesData!U</t>
  </si>
  <si>
    <t>D</t>
  </si>
  <si>
    <t>Pivot: Sum Net Sales by Region</t>
  </si>
  <si>
    <t>See PivotTables</t>
  </si>
  <si>
    <t>Pivot: Sum Units by Product</t>
  </si>
  <si>
    <t>Pivot: Net Sales by Region and Category</t>
  </si>
  <si>
    <t>Pivot: Salesperson total Net Sales</t>
  </si>
  <si>
    <t>Pivot: Retail vs Corporate Net Sales</t>
  </si>
  <si>
    <t>Pivot: Monthly Net Sales</t>
  </si>
  <si>
    <t>Column chart for Region Net Sales</t>
  </si>
  <si>
    <t>Highest Net Sales Region</t>
  </si>
  <si>
    <t>Pivot: Average Unit Price by Category</t>
  </si>
  <si>
    <t>Region filter/slicer practice</t>
  </si>
  <si>
    <t>Region filter included in Pivot-style summaries</t>
  </si>
  <si>
    <t>Pivot Table Practice — Summary</t>
  </si>
  <si>
    <t>Total Net Sales</t>
  </si>
  <si>
    <t>Total Units</t>
  </si>
  <si>
    <t>Month</t>
  </si>
  <si>
    <t>Average Unit Price</t>
  </si>
  <si>
    <t>Jan</t>
  </si>
  <si>
    <t>Highest Region Net Sales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</si>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</sst>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Region-wise Net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 Net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PivotTables!$A$4:$A$7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PivotTables!$B$4:$B$7</c:f>
              <c:numCache>
                <c:formatCode>\₹#,##0.00</c:formatCode>
                <c:ptCount val="4"/>
                <c:pt idx="0">
                  <c:v>411740</c:v>
                </c:pt>
                <c:pt idx="1">
                  <c:v>394000</c:v>
                </c:pt>
                <c:pt idx="2">
                  <c:v>449265</c:v>
                </c:pt>
                <c:pt idx="3">
                  <c:v>309657.5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B-4EC1-8B2C-C9AA28B7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15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" displayName="ProductLookup" ref="A1:C6">
  <autoFilter ref="A1:C6" xr:uid="{00000000-0009-0000-0100-000002000000}"/>
  <tableColumns count="3">
    <tableColumn id="1" xr3:uid="{00000000-0010-0000-0100-000001000000}" name="Product"/>
    <tableColumn id="2" xr3:uid="{00000000-0010-0000-0100-000002000000}" name="Category"/>
    <tableColumn id="3" xr3:uid="{00000000-0010-0000-0100-000003000000}" name="Standard Pri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O1" workbookViewId="0">
      <pane ySplit="1" topLeftCell="O2" activePane="bottomLeft" state="frozen"/>
      <selection activeCell="O1" sqref="O1"/>
      <selection pane="bottomLeft" activeCell="Q14" sqref="Q14"/>
    </sheetView>
  </sheetViews>
  <sheetFormatPr defaultRowHeight="15" x14ac:dyDescent="0.2"/>
  <cols>
    <col min="1" max="1" width="11.97265625" customWidth="1"/>
    <col min="2" max="2" width="13.98828125" customWidth="1"/>
    <col min="3" max="3" width="11.97265625" customWidth="1"/>
    <col min="4" max="5" width="13.98828125" customWidth="1"/>
    <col min="6" max="6" width="14.9296875" customWidth="1"/>
    <col min="7" max="7" width="9.953125" customWidth="1"/>
    <col min="8" max="8" width="13.98828125" customWidth="1"/>
    <col min="9" max="9" width="11.97265625" customWidth="1"/>
    <col min="10" max="12" width="16.0078125" customWidth="1"/>
    <col min="13" max="13" width="13.98828125" customWidth="1"/>
    <col min="14" max="14" width="18.0234375" customWidth="1"/>
    <col min="15" max="15" width="13.046875" customWidth="1"/>
    <col min="16" max="16" width="11.02734375" customWidth="1"/>
    <col min="17" max="17" width="16.27734375" bestFit="1" customWidth="1"/>
    <col min="18" max="18" width="18.0234375" customWidth="1"/>
    <col min="19" max="19" width="16.0078125" customWidth="1"/>
    <col min="20" max="20" width="11.97265625" customWidth="1"/>
    <col min="21" max="21" width="16.00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3">
        <v>46027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3</v>
      </c>
      <c r="H2" s="4">
        <v>55000</v>
      </c>
      <c r="I2" s="5">
        <v>0.05</v>
      </c>
      <c r="J2" s="2" t="s">
        <v>26</v>
      </c>
      <c r="K2" s="4">
        <f t="shared" ref="K2:K21" si="0">G2*H2</f>
        <v>165000</v>
      </c>
      <c r="L2" s="4">
        <f t="shared" ref="L2:L21" si="1">K2*(1-I2)</f>
        <v>156750</v>
      </c>
      <c r="M2" s="2" t="str">
        <f t="shared" ref="M2:M21" si="2">IF(L2&gt;=100000,"High","Normal")</f>
        <v>High</v>
      </c>
      <c r="N2" s="4">
        <f t="shared" ref="N2:N21" si="3">ROUND(L2,0)</f>
        <v>156750</v>
      </c>
      <c r="O2" s="2" t="str">
        <f t="shared" ref="O2:O21" si="4">LEFT(A2,3)</f>
        <v>O10</v>
      </c>
      <c r="P2" s="2">
        <f t="shared" ref="P2:P21" si="5">MONTH(B2)</f>
        <v>1</v>
      </c>
      <c r="Q2" s="4">
        <f>_xlfn.SINGLE(_xlfn.XLOOKUP(E2,Lookup!$A$2:$A$6,Lookup!$C$2:$C$6,"Not Found"))</f>
        <v>55000</v>
      </c>
      <c r="R2" s="2" t="str">
        <f t="shared" ref="R2:R21" si="6">IF(H2&gt;Q2,"Above Standard","Within Standard")</f>
        <v>Within Standard</v>
      </c>
      <c r="S2" s="2" t="str">
        <f t="shared" ref="S2:S21" si="7">IF(J2="Retail","Retail","Corporate")</f>
        <v>Retail</v>
      </c>
      <c r="T2" s="2" t="str">
        <f t="shared" ref="T2:T21" si="8">IF(AND(J2="Corporate",I2&gt;=5%),"Yes","No")</f>
        <v>No</v>
      </c>
      <c r="U2" s="2" t="str">
        <f t="shared" ref="U2:U21" si="9">IF(OR(C2="North",C2="South"),"Flag","No")</f>
        <v>Flag</v>
      </c>
    </row>
    <row r="3" spans="1:21" x14ac:dyDescent="0.2">
      <c r="A3" s="2" t="s">
        <v>27</v>
      </c>
      <c r="B3" s="3">
        <v>46029</v>
      </c>
      <c r="C3" s="2" t="s">
        <v>28</v>
      </c>
      <c r="D3" s="2" t="s">
        <v>29</v>
      </c>
      <c r="E3" s="2" t="s">
        <v>30</v>
      </c>
      <c r="F3" s="2" t="s">
        <v>25</v>
      </c>
      <c r="G3" s="2">
        <v>5</v>
      </c>
      <c r="H3" s="4">
        <v>18000</v>
      </c>
      <c r="I3" s="5">
        <v>0</v>
      </c>
      <c r="J3" s="2" t="s">
        <v>31</v>
      </c>
      <c r="K3" s="4">
        <f t="shared" si="0"/>
        <v>90000</v>
      </c>
      <c r="L3" s="4">
        <f t="shared" si="1"/>
        <v>90000</v>
      </c>
      <c r="M3" s="2" t="str">
        <f t="shared" si="2"/>
        <v>Normal</v>
      </c>
      <c r="N3" s="4">
        <f t="shared" si="3"/>
        <v>90000</v>
      </c>
      <c r="O3" s="2" t="str">
        <f t="shared" si="4"/>
        <v>O10</v>
      </c>
      <c r="P3" s="2">
        <f t="shared" si="5"/>
        <v>1</v>
      </c>
      <c r="Q3" s="4">
        <f>_xlfn.SINGLE(_xlfn.XLOOKUP(E3,Lookup!$A$2:$A$6,Lookup!$C$2:$C$6,"Not Found"))</f>
        <v>18000</v>
      </c>
      <c r="R3" s="2" t="str">
        <f t="shared" si="6"/>
        <v>Within Standard</v>
      </c>
      <c r="S3" s="2" t="str">
        <f t="shared" si="7"/>
        <v>Corporate</v>
      </c>
      <c r="T3" s="2" t="str">
        <f t="shared" si="8"/>
        <v>No</v>
      </c>
      <c r="U3" s="2" t="str">
        <f t="shared" si="9"/>
        <v>No</v>
      </c>
    </row>
    <row r="4" spans="1:21" x14ac:dyDescent="0.2">
      <c r="A4" s="2" t="s">
        <v>32</v>
      </c>
      <c r="B4" s="3">
        <v>46031</v>
      </c>
      <c r="C4" s="2" t="s">
        <v>33</v>
      </c>
      <c r="D4" s="2" t="s">
        <v>34</v>
      </c>
      <c r="E4" s="2" t="s">
        <v>35</v>
      </c>
      <c r="F4" s="2" t="s">
        <v>36</v>
      </c>
      <c r="G4" s="2">
        <v>12</v>
      </c>
      <c r="H4" s="4">
        <v>2200</v>
      </c>
      <c r="I4" s="5">
        <v>0.1</v>
      </c>
      <c r="J4" s="2" t="s">
        <v>26</v>
      </c>
      <c r="K4" s="4">
        <f t="shared" si="0"/>
        <v>26400</v>
      </c>
      <c r="L4" s="4">
        <f t="shared" si="1"/>
        <v>23760</v>
      </c>
      <c r="M4" s="2" t="str">
        <f t="shared" si="2"/>
        <v>Normal</v>
      </c>
      <c r="N4" s="4">
        <f t="shared" si="3"/>
        <v>23760</v>
      </c>
      <c r="O4" s="2" t="str">
        <f t="shared" si="4"/>
        <v>O10</v>
      </c>
      <c r="P4" s="2">
        <f t="shared" si="5"/>
        <v>1</v>
      </c>
      <c r="Q4" s="4">
        <f>_xlfn.SINGLE(_xlfn.XLOOKUP(E4,Lookup!$A$2:$A$6,Lookup!$C$2:$C$6,"Not Found"))</f>
        <v>2200</v>
      </c>
      <c r="R4" s="2" t="str">
        <f t="shared" si="6"/>
        <v>Within Standard</v>
      </c>
      <c r="S4" s="2" t="str">
        <f t="shared" si="7"/>
        <v>Retail</v>
      </c>
      <c r="T4" s="2" t="str">
        <f t="shared" si="8"/>
        <v>No</v>
      </c>
      <c r="U4" s="2" t="str">
        <f t="shared" si="9"/>
        <v>Flag</v>
      </c>
    </row>
    <row r="5" spans="1:21" x14ac:dyDescent="0.2">
      <c r="A5" s="2" t="s">
        <v>37</v>
      </c>
      <c r="B5" s="3">
        <v>46034</v>
      </c>
      <c r="C5" s="2" t="s">
        <v>38</v>
      </c>
      <c r="D5" s="2" t="s">
        <v>39</v>
      </c>
      <c r="E5" s="2" t="s">
        <v>40</v>
      </c>
      <c r="F5" s="2" t="s">
        <v>41</v>
      </c>
      <c r="G5" s="2">
        <v>4</v>
      </c>
      <c r="H5" s="4">
        <v>14500</v>
      </c>
      <c r="I5" s="5">
        <v>0.05</v>
      </c>
      <c r="J5" s="2" t="s">
        <v>31</v>
      </c>
      <c r="K5" s="4">
        <f t="shared" si="0"/>
        <v>58000</v>
      </c>
      <c r="L5" s="4">
        <f t="shared" si="1"/>
        <v>55100</v>
      </c>
      <c r="M5" s="2" t="str">
        <f t="shared" si="2"/>
        <v>Normal</v>
      </c>
      <c r="N5" s="4">
        <f t="shared" si="3"/>
        <v>55100</v>
      </c>
      <c r="O5" s="2" t="str">
        <f t="shared" si="4"/>
        <v>O10</v>
      </c>
      <c r="P5" s="2">
        <f t="shared" si="5"/>
        <v>1</v>
      </c>
      <c r="Q5" s="4">
        <f>_xlfn.SINGLE(_xlfn.XLOOKUP(E5,Lookup!$A$2:$A$6,Lookup!$C$2:$C$6,"Not Found"))</f>
        <v>14500</v>
      </c>
      <c r="R5" s="2" t="str">
        <f t="shared" si="6"/>
        <v>Within Standard</v>
      </c>
      <c r="S5" s="2" t="str">
        <f t="shared" si="7"/>
        <v>Corporate</v>
      </c>
      <c r="T5" s="2" t="str">
        <f t="shared" si="8"/>
        <v>Yes</v>
      </c>
      <c r="U5" s="2" t="str">
        <f t="shared" si="9"/>
        <v>No</v>
      </c>
    </row>
    <row r="6" spans="1:21" x14ac:dyDescent="0.2">
      <c r="A6" s="2" t="s">
        <v>42</v>
      </c>
      <c r="B6" s="3">
        <v>46037</v>
      </c>
      <c r="C6" s="2" t="s">
        <v>22</v>
      </c>
      <c r="D6" s="2" t="s">
        <v>23</v>
      </c>
      <c r="E6" s="2" t="s">
        <v>43</v>
      </c>
      <c r="F6" s="2" t="s">
        <v>36</v>
      </c>
      <c r="G6" s="2">
        <v>20</v>
      </c>
      <c r="H6" s="4">
        <v>900</v>
      </c>
      <c r="I6" s="5">
        <v>0</v>
      </c>
      <c r="J6" s="2" t="s">
        <v>26</v>
      </c>
      <c r="K6" s="4">
        <f t="shared" si="0"/>
        <v>18000</v>
      </c>
      <c r="L6" s="4">
        <f t="shared" si="1"/>
        <v>18000</v>
      </c>
      <c r="M6" s="2" t="str">
        <f t="shared" si="2"/>
        <v>Normal</v>
      </c>
      <c r="N6" s="4">
        <f t="shared" si="3"/>
        <v>18000</v>
      </c>
      <c r="O6" s="2" t="str">
        <f t="shared" si="4"/>
        <v>O10</v>
      </c>
      <c r="P6" s="2">
        <f t="shared" si="5"/>
        <v>1</v>
      </c>
      <c r="Q6" s="4">
        <f>_xlfn.SINGLE(_xlfn.XLOOKUP(E6,Lookup!$A$2:$A$6,Lookup!$C$2:$C$6,"Not Found"))</f>
        <v>900</v>
      </c>
      <c r="R6" s="2" t="str">
        <f t="shared" si="6"/>
        <v>Within Standard</v>
      </c>
      <c r="S6" s="2" t="str">
        <f t="shared" si="7"/>
        <v>Retail</v>
      </c>
      <c r="T6" s="2" t="str">
        <f t="shared" si="8"/>
        <v>No</v>
      </c>
      <c r="U6" s="2" t="str">
        <f t="shared" si="9"/>
        <v>Flag</v>
      </c>
    </row>
    <row r="7" spans="1:21" x14ac:dyDescent="0.2">
      <c r="A7" s="2" t="s">
        <v>44</v>
      </c>
      <c r="B7" s="3">
        <v>46040</v>
      </c>
      <c r="C7" s="2" t="s">
        <v>28</v>
      </c>
      <c r="D7" s="2" t="s">
        <v>45</v>
      </c>
      <c r="E7" s="2" t="s">
        <v>24</v>
      </c>
      <c r="F7" s="2" t="s">
        <v>25</v>
      </c>
      <c r="G7" s="2">
        <v>2</v>
      </c>
      <c r="H7" s="4">
        <v>56000</v>
      </c>
      <c r="I7" s="5">
        <v>0.08</v>
      </c>
      <c r="J7" s="2" t="s">
        <v>31</v>
      </c>
      <c r="K7" s="4">
        <f t="shared" si="0"/>
        <v>112000</v>
      </c>
      <c r="L7" s="4">
        <f t="shared" si="1"/>
        <v>103040</v>
      </c>
      <c r="M7" s="2" t="str">
        <f t="shared" si="2"/>
        <v>High</v>
      </c>
      <c r="N7" s="4">
        <f t="shared" si="3"/>
        <v>103040</v>
      </c>
      <c r="O7" s="2" t="str">
        <f t="shared" si="4"/>
        <v>O10</v>
      </c>
      <c r="P7" s="2">
        <f t="shared" si="5"/>
        <v>1</v>
      </c>
      <c r="Q7" s="4">
        <f>_xlfn.SINGLE(_xlfn.XLOOKUP(E7,Lookup!$A$2:$A$6,Lookup!$C$2:$C$6,"Not Found"))</f>
        <v>55000</v>
      </c>
      <c r="R7" s="2" t="str">
        <f t="shared" si="6"/>
        <v>Above Standard</v>
      </c>
      <c r="S7" s="2" t="str">
        <f t="shared" si="7"/>
        <v>Corporate</v>
      </c>
      <c r="T7" s="2" t="str">
        <f t="shared" si="8"/>
        <v>Yes</v>
      </c>
      <c r="U7" s="2" t="str">
        <f t="shared" si="9"/>
        <v>No</v>
      </c>
    </row>
    <row r="8" spans="1:21" x14ac:dyDescent="0.2">
      <c r="A8" s="2" t="s">
        <v>46</v>
      </c>
      <c r="B8" s="3">
        <v>46043</v>
      </c>
      <c r="C8" s="2" t="s">
        <v>33</v>
      </c>
      <c r="D8" s="2" t="s">
        <v>34</v>
      </c>
      <c r="E8" s="2" t="s">
        <v>30</v>
      </c>
      <c r="F8" s="2" t="s">
        <v>25</v>
      </c>
      <c r="G8" s="2">
        <v>7</v>
      </c>
      <c r="H8" s="4">
        <v>17500</v>
      </c>
      <c r="I8" s="5">
        <v>0.05</v>
      </c>
      <c r="J8" s="2" t="s">
        <v>26</v>
      </c>
      <c r="K8" s="4">
        <f t="shared" si="0"/>
        <v>122500</v>
      </c>
      <c r="L8" s="4">
        <f t="shared" si="1"/>
        <v>116375</v>
      </c>
      <c r="M8" s="2" t="str">
        <f t="shared" si="2"/>
        <v>High</v>
      </c>
      <c r="N8" s="4">
        <f t="shared" si="3"/>
        <v>116375</v>
      </c>
      <c r="O8" s="2" t="str">
        <f t="shared" si="4"/>
        <v>O10</v>
      </c>
      <c r="P8" s="2">
        <f t="shared" si="5"/>
        <v>1</v>
      </c>
      <c r="Q8" s="4">
        <f>_xlfn.SINGLE(_xlfn.XLOOKUP(E8,Lookup!$A$2:$A$6,Lookup!$C$2:$C$6,"Not Found"))</f>
        <v>18000</v>
      </c>
      <c r="R8" s="2" t="str">
        <f t="shared" si="6"/>
        <v>Within Standard</v>
      </c>
      <c r="S8" s="2" t="str">
        <f t="shared" si="7"/>
        <v>Retail</v>
      </c>
      <c r="T8" s="2" t="str">
        <f t="shared" si="8"/>
        <v>No</v>
      </c>
      <c r="U8" s="2" t="str">
        <f t="shared" si="9"/>
        <v>Flag</v>
      </c>
    </row>
    <row r="9" spans="1:21" x14ac:dyDescent="0.2">
      <c r="A9" s="2" t="s">
        <v>47</v>
      </c>
      <c r="B9" s="3">
        <v>46046</v>
      </c>
      <c r="C9" s="2" t="s">
        <v>38</v>
      </c>
      <c r="D9" s="2" t="s">
        <v>39</v>
      </c>
      <c r="E9" s="2" t="s">
        <v>35</v>
      </c>
      <c r="F9" s="2" t="s">
        <v>36</v>
      </c>
      <c r="G9" s="2">
        <v>15</v>
      </c>
      <c r="H9" s="4">
        <v>2100</v>
      </c>
      <c r="I9" s="5">
        <v>0.1</v>
      </c>
      <c r="J9" s="2" t="s">
        <v>26</v>
      </c>
      <c r="K9" s="4">
        <f t="shared" si="0"/>
        <v>31500</v>
      </c>
      <c r="L9" s="4">
        <f t="shared" si="1"/>
        <v>28350</v>
      </c>
      <c r="M9" s="2" t="str">
        <f t="shared" si="2"/>
        <v>Normal</v>
      </c>
      <c r="N9" s="4">
        <f t="shared" si="3"/>
        <v>28350</v>
      </c>
      <c r="O9" s="2" t="str">
        <f t="shared" si="4"/>
        <v>O10</v>
      </c>
      <c r="P9" s="2">
        <f t="shared" si="5"/>
        <v>1</v>
      </c>
      <c r="Q9" s="4">
        <f>_xlfn.SINGLE(_xlfn.XLOOKUP(E9,Lookup!$A$2:$A$6,Lookup!$C$2:$C$6,"Not Found"))</f>
        <v>2200</v>
      </c>
      <c r="R9" s="2" t="str">
        <f t="shared" si="6"/>
        <v>Within Standard</v>
      </c>
      <c r="S9" s="2" t="str">
        <f t="shared" si="7"/>
        <v>Retail</v>
      </c>
      <c r="T9" s="2" t="str">
        <f t="shared" si="8"/>
        <v>No</v>
      </c>
      <c r="U9" s="2" t="str">
        <f t="shared" si="9"/>
        <v>No</v>
      </c>
    </row>
    <row r="10" spans="1:21" x14ac:dyDescent="0.2">
      <c r="A10" s="2" t="s">
        <v>48</v>
      </c>
      <c r="B10" s="3">
        <v>46050</v>
      </c>
      <c r="C10" s="2" t="s">
        <v>22</v>
      </c>
      <c r="D10" s="2" t="s">
        <v>49</v>
      </c>
      <c r="E10" s="2" t="s">
        <v>40</v>
      </c>
      <c r="F10" s="2" t="s">
        <v>41</v>
      </c>
      <c r="G10" s="2">
        <v>6</v>
      </c>
      <c r="H10" s="4">
        <v>15000</v>
      </c>
      <c r="I10" s="5">
        <v>0</v>
      </c>
      <c r="J10" s="2" t="s">
        <v>31</v>
      </c>
      <c r="K10" s="4">
        <f t="shared" si="0"/>
        <v>90000</v>
      </c>
      <c r="L10" s="4">
        <f t="shared" si="1"/>
        <v>90000</v>
      </c>
      <c r="M10" s="2" t="str">
        <f t="shared" si="2"/>
        <v>Normal</v>
      </c>
      <c r="N10" s="4">
        <f t="shared" si="3"/>
        <v>90000</v>
      </c>
      <c r="O10" s="2" t="str">
        <f t="shared" si="4"/>
        <v>O10</v>
      </c>
      <c r="P10" s="2">
        <f t="shared" si="5"/>
        <v>1</v>
      </c>
      <c r="Q10" s="4">
        <f>_xlfn.SINGLE(_xlfn.XLOOKUP(E10,Lookup!$A$2:$A$6,Lookup!$C$2:$C$6,"Not Found"))</f>
        <v>14500</v>
      </c>
      <c r="R10" s="2" t="str">
        <f t="shared" si="6"/>
        <v>Above Standard</v>
      </c>
      <c r="S10" s="2" t="str">
        <f t="shared" si="7"/>
        <v>Corporate</v>
      </c>
      <c r="T10" s="2" t="str">
        <f t="shared" si="8"/>
        <v>No</v>
      </c>
      <c r="U10" s="2" t="str">
        <f t="shared" si="9"/>
        <v>Flag</v>
      </c>
    </row>
    <row r="11" spans="1:21" x14ac:dyDescent="0.2">
      <c r="A11" s="2" t="s">
        <v>50</v>
      </c>
      <c r="B11" s="3">
        <v>46055</v>
      </c>
      <c r="C11" s="2" t="s">
        <v>28</v>
      </c>
      <c r="D11" s="2" t="s">
        <v>45</v>
      </c>
      <c r="E11" s="2" t="s">
        <v>43</v>
      </c>
      <c r="F11" s="2" t="s">
        <v>36</v>
      </c>
      <c r="G11" s="2">
        <v>25</v>
      </c>
      <c r="H11" s="4">
        <v>850</v>
      </c>
      <c r="I11" s="5">
        <v>0.05</v>
      </c>
      <c r="J11" s="2" t="s">
        <v>26</v>
      </c>
      <c r="K11" s="4">
        <f t="shared" si="0"/>
        <v>21250</v>
      </c>
      <c r="L11" s="4">
        <f t="shared" si="1"/>
        <v>20187.5</v>
      </c>
      <c r="M11" s="2" t="str">
        <f t="shared" si="2"/>
        <v>Normal</v>
      </c>
      <c r="N11" s="4">
        <f t="shared" si="3"/>
        <v>20188</v>
      </c>
      <c r="O11" s="2" t="str">
        <f t="shared" si="4"/>
        <v>O10</v>
      </c>
      <c r="P11" s="2">
        <f t="shared" si="5"/>
        <v>2</v>
      </c>
      <c r="Q11" s="4">
        <f>_xlfn.SINGLE(_xlfn.XLOOKUP(E11,Lookup!$A$2:$A$6,Lookup!$C$2:$C$6,"Not Found"))</f>
        <v>900</v>
      </c>
      <c r="R11" s="2" t="str">
        <f t="shared" si="6"/>
        <v>Within Standard</v>
      </c>
      <c r="S11" s="2" t="str">
        <f t="shared" si="7"/>
        <v>Retail</v>
      </c>
      <c r="T11" s="2" t="str">
        <f t="shared" si="8"/>
        <v>No</v>
      </c>
      <c r="U11" s="2" t="str">
        <f t="shared" si="9"/>
        <v>No</v>
      </c>
    </row>
    <row r="12" spans="1:21" x14ac:dyDescent="0.2">
      <c r="A12" s="2" t="s">
        <v>51</v>
      </c>
      <c r="B12" s="3">
        <v>46058</v>
      </c>
      <c r="C12" s="2" t="s">
        <v>33</v>
      </c>
      <c r="D12" s="2" t="s">
        <v>34</v>
      </c>
      <c r="E12" s="2" t="s">
        <v>24</v>
      </c>
      <c r="F12" s="2" t="s">
        <v>25</v>
      </c>
      <c r="G12" s="2">
        <v>4</v>
      </c>
      <c r="H12" s="4">
        <v>54500</v>
      </c>
      <c r="I12" s="5">
        <v>0.1</v>
      </c>
      <c r="J12" s="2" t="s">
        <v>31</v>
      </c>
      <c r="K12" s="4">
        <f t="shared" si="0"/>
        <v>218000</v>
      </c>
      <c r="L12" s="4">
        <f t="shared" si="1"/>
        <v>196200</v>
      </c>
      <c r="M12" s="2" t="str">
        <f t="shared" si="2"/>
        <v>High</v>
      </c>
      <c r="N12" s="4">
        <f t="shared" si="3"/>
        <v>196200</v>
      </c>
      <c r="O12" s="2" t="str">
        <f t="shared" si="4"/>
        <v>O10</v>
      </c>
      <c r="P12" s="2">
        <f t="shared" si="5"/>
        <v>2</v>
      </c>
      <c r="Q12" s="4">
        <f>_xlfn.SINGLE(_xlfn.XLOOKUP(E12,Lookup!$A$2:$A$6,Lookup!$C$2:$C$6,"Not Found"))</f>
        <v>55000</v>
      </c>
      <c r="R12" s="2" t="str">
        <f t="shared" si="6"/>
        <v>Within Standard</v>
      </c>
      <c r="S12" s="2" t="str">
        <f t="shared" si="7"/>
        <v>Corporate</v>
      </c>
      <c r="T12" s="2" t="str">
        <f t="shared" si="8"/>
        <v>Yes</v>
      </c>
      <c r="U12" s="2" t="str">
        <f t="shared" si="9"/>
        <v>Flag</v>
      </c>
    </row>
    <row r="13" spans="1:21" x14ac:dyDescent="0.2">
      <c r="A13" s="2" t="s">
        <v>52</v>
      </c>
      <c r="B13" s="3">
        <v>46062</v>
      </c>
      <c r="C13" s="2" t="s">
        <v>38</v>
      </c>
      <c r="D13" s="2" t="s">
        <v>39</v>
      </c>
      <c r="E13" s="2" t="s">
        <v>30</v>
      </c>
      <c r="F13" s="2" t="s">
        <v>25</v>
      </c>
      <c r="G13" s="2">
        <v>8</v>
      </c>
      <c r="H13" s="4">
        <v>18200</v>
      </c>
      <c r="I13" s="5">
        <v>0</v>
      </c>
      <c r="J13" s="2" t="s">
        <v>26</v>
      </c>
      <c r="K13" s="4">
        <f t="shared" si="0"/>
        <v>145600</v>
      </c>
      <c r="L13" s="4">
        <f t="shared" si="1"/>
        <v>145600</v>
      </c>
      <c r="M13" s="2" t="str">
        <f t="shared" si="2"/>
        <v>High</v>
      </c>
      <c r="N13" s="4">
        <f t="shared" si="3"/>
        <v>145600</v>
      </c>
      <c r="O13" s="2" t="str">
        <f t="shared" si="4"/>
        <v>O10</v>
      </c>
      <c r="P13" s="2">
        <f t="shared" si="5"/>
        <v>2</v>
      </c>
      <c r="Q13" s="4">
        <f>_xlfn.SINGLE(_xlfn.XLOOKUP(E13,Lookup!$A$2:$A$6,Lookup!$C$2:$C$6,"Not Found"))</f>
        <v>18000</v>
      </c>
      <c r="R13" s="2" t="str">
        <f t="shared" si="6"/>
        <v>Above Standard</v>
      </c>
      <c r="S13" s="2" t="str">
        <f t="shared" si="7"/>
        <v>Retail</v>
      </c>
      <c r="T13" s="2" t="str">
        <f t="shared" si="8"/>
        <v>No</v>
      </c>
      <c r="U13" s="2" t="str">
        <f t="shared" si="9"/>
        <v>No</v>
      </c>
    </row>
    <row r="14" spans="1:21" x14ac:dyDescent="0.2">
      <c r="A14" s="2" t="s">
        <v>53</v>
      </c>
      <c r="B14" s="3">
        <v>46066</v>
      </c>
      <c r="C14" s="2" t="s">
        <v>22</v>
      </c>
      <c r="D14" s="2" t="s">
        <v>49</v>
      </c>
      <c r="E14" s="2" t="s">
        <v>35</v>
      </c>
      <c r="F14" s="2" t="s">
        <v>36</v>
      </c>
      <c r="G14" s="2">
        <v>10</v>
      </c>
      <c r="H14" s="4">
        <v>2300</v>
      </c>
      <c r="I14" s="5">
        <v>0.05</v>
      </c>
      <c r="J14" s="2" t="s">
        <v>26</v>
      </c>
      <c r="K14" s="4">
        <f t="shared" si="0"/>
        <v>23000</v>
      </c>
      <c r="L14" s="4">
        <f t="shared" si="1"/>
        <v>21850</v>
      </c>
      <c r="M14" s="2" t="str">
        <f t="shared" si="2"/>
        <v>Normal</v>
      </c>
      <c r="N14" s="4">
        <f t="shared" si="3"/>
        <v>21850</v>
      </c>
      <c r="O14" s="2" t="str">
        <f t="shared" si="4"/>
        <v>O10</v>
      </c>
      <c r="P14" s="2">
        <f t="shared" si="5"/>
        <v>2</v>
      </c>
      <c r="Q14" s="4">
        <f>_xlfn.SINGLE(_xlfn.XLOOKUP(E14,Lookup!$A$2:$A$6,Lookup!$C$2:$C$6,"Not Found"))</f>
        <v>2200</v>
      </c>
      <c r="R14" s="2" t="str">
        <f t="shared" si="6"/>
        <v>Above Standard</v>
      </c>
      <c r="S14" s="2" t="str">
        <f t="shared" si="7"/>
        <v>Retail</v>
      </c>
      <c r="T14" s="2" t="str">
        <f t="shared" si="8"/>
        <v>No</v>
      </c>
      <c r="U14" s="2" t="str">
        <f t="shared" si="9"/>
        <v>Flag</v>
      </c>
    </row>
    <row r="15" spans="1:21" x14ac:dyDescent="0.2">
      <c r="A15" s="2" t="s">
        <v>54</v>
      </c>
      <c r="B15" s="3">
        <v>46070</v>
      </c>
      <c r="C15" s="2" t="s">
        <v>28</v>
      </c>
      <c r="D15" s="2" t="s">
        <v>45</v>
      </c>
      <c r="E15" s="2" t="s">
        <v>40</v>
      </c>
      <c r="F15" s="2" t="s">
        <v>41</v>
      </c>
      <c r="G15" s="2">
        <v>5</v>
      </c>
      <c r="H15" s="4">
        <v>14800</v>
      </c>
      <c r="I15" s="5">
        <v>0.08</v>
      </c>
      <c r="J15" s="2" t="s">
        <v>31</v>
      </c>
      <c r="K15" s="4">
        <f t="shared" si="0"/>
        <v>74000</v>
      </c>
      <c r="L15" s="4">
        <f t="shared" si="1"/>
        <v>68080</v>
      </c>
      <c r="M15" s="2" t="str">
        <f t="shared" si="2"/>
        <v>Normal</v>
      </c>
      <c r="N15" s="4">
        <f t="shared" si="3"/>
        <v>68080</v>
      </c>
      <c r="O15" s="2" t="str">
        <f t="shared" si="4"/>
        <v>O10</v>
      </c>
      <c r="P15" s="2">
        <f t="shared" si="5"/>
        <v>2</v>
      </c>
      <c r="Q15" s="4">
        <f>_xlfn.SINGLE(_xlfn.XLOOKUP(E15,Lookup!$A$2:$A$6,Lookup!$C$2:$C$6,"Not Found"))</f>
        <v>14500</v>
      </c>
      <c r="R15" s="2" t="str">
        <f t="shared" si="6"/>
        <v>Above Standard</v>
      </c>
      <c r="S15" s="2" t="str">
        <f t="shared" si="7"/>
        <v>Corporate</v>
      </c>
      <c r="T15" s="2" t="str">
        <f t="shared" si="8"/>
        <v>Yes</v>
      </c>
      <c r="U15" s="2" t="str">
        <f t="shared" si="9"/>
        <v>No</v>
      </c>
    </row>
    <row r="16" spans="1:21" x14ac:dyDescent="0.2">
      <c r="A16" s="2" t="s">
        <v>55</v>
      </c>
      <c r="B16" s="3">
        <v>46074</v>
      </c>
      <c r="C16" s="2" t="s">
        <v>33</v>
      </c>
      <c r="D16" s="2" t="s">
        <v>34</v>
      </c>
      <c r="E16" s="2" t="s">
        <v>43</v>
      </c>
      <c r="F16" s="2" t="s">
        <v>36</v>
      </c>
      <c r="G16" s="2">
        <v>18</v>
      </c>
      <c r="H16" s="4">
        <v>880</v>
      </c>
      <c r="I16" s="5">
        <v>0</v>
      </c>
      <c r="J16" s="2" t="s">
        <v>26</v>
      </c>
      <c r="K16" s="4">
        <f t="shared" si="0"/>
        <v>15840</v>
      </c>
      <c r="L16" s="4">
        <f t="shared" si="1"/>
        <v>15840</v>
      </c>
      <c r="M16" s="2" t="str">
        <f t="shared" si="2"/>
        <v>Normal</v>
      </c>
      <c r="N16" s="4">
        <f t="shared" si="3"/>
        <v>15840</v>
      </c>
      <c r="O16" s="2" t="str">
        <f t="shared" si="4"/>
        <v>O10</v>
      </c>
      <c r="P16" s="2">
        <f t="shared" si="5"/>
        <v>2</v>
      </c>
      <c r="Q16" s="4">
        <f>_xlfn.SINGLE(_xlfn.XLOOKUP(E16,Lookup!$A$2:$A$6,Lookup!$C$2:$C$6,"Not Found"))</f>
        <v>900</v>
      </c>
      <c r="R16" s="2" t="str">
        <f t="shared" si="6"/>
        <v>Within Standard</v>
      </c>
      <c r="S16" s="2" t="str">
        <f t="shared" si="7"/>
        <v>Retail</v>
      </c>
      <c r="T16" s="2" t="str">
        <f t="shared" si="8"/>
        <v>No</v>
      </c>
      <c r="U16" s="2" t="str">
        <f t="shared" si="9"/>
        <v>Flag</v>
      </c>
    </row>
    <row r="17" spans="1:21" x14ac:dyDescent="0.2">
      <c r="A17" s="2" t="s">
        <v>56</v>
      </c>
      <c r="B17" s="3">
        <v>46078</v>
      </c>
      <c r="C17" s="2" t="s">
        <v>38</v>
      </c>
      <c r="D17" s="2" t="s">
        <v>39</v>
      </c>
      <c r="E17" s="2" t="s">
        <v>24</v>
      </c>
      <c r="F17" s="2" t="s">
        <v>25</v>
      </c>
      <c r="G17" s="2">
        <v>3</v>
      </c>
      <c r="H17" s="4">
        <v>57000</v>
      </c>
      <c r="I17" s="5">
        <v>0.05</v>
      </c>
      <c r="J17" s="2" t="s">
        <v>31</v>
      </c>
      <c r="K17" s="4">
        <f t="shared" si="0"/>
        <v>171000</v>
      </c>
      <c r="L17" s="4">
        <f t="shared" si="1"/>
        <v>162450</v>
      </c>
      <c r="M17" s="2" t="str">
        <f t="shared" si="2"/>
        <v>High</v>
      </c>
      <c r="N17" s="4">
        <f t="shared" si="3"/>
        <v>162450</v>
      </c>
      <c r="O17" s="2" t="str">
        <f t="shared" si="4"/>
        <v>O10</v>
      </c>
      <c r="P17" s="2">
        <f t="shared" si="5"/>
        <v>2</v>
      </c>
      <c r="Q17" s="4">
        <f>_xlfn.SINGLE(_xlfn.XLOOKUP(E17,Lookup!$A$2:$A$6,Lookup!$C$2:$C$6,"Not Found"))</f>
        <v>55000</v>
      </c>
      <c r="R17" s="2" t="str">
        <f t="shared" si="6"/>
        <v>Above Standard</v>
      </c>
      <c r="S17" s="2" t="str">
        <f t="shared" si="7"/>
        <v>Corporate</v>
      </c>
      <c r="T17" s="2" t="str">
        <f t="shared" si="8"/>
        <v>Yes</v>
      </c>
      <c r="U17" s="2" t="str">
        <f t="shared" si="9"/>
        <v>No</v>
      </c>
    </row>
    <row r="18" spans="1:21" x14ac:dyDescent="0.2">
      <c r="A18" s="2" t="s">
        <v>57</v>
      </c>
      <c r="B18" s="3">
        <v>46084</v>
      </c>
      <c r="C18" s="2" t="s">
        <v>22</v>
      </c>
      <c r="D18" s="2" t="s">
        <v>23</v>
      </c>
      <c r="E18" s="2" t="s">
        <v>30</v>
      </c>
      <c r="F18" s="2" t="s">
        <v>25</v>
      </c>
      <c r="G18" s="2">
        <v>6</v>
      </c>
      <c r="H18" s="4">
        <v>17900</v>
      </c>
      <c r="I18" s="5">
        <v>0</v>
      </c>
      <c r="J18" s="2" t="s">
        <v>26</v>
      </c>
      <c r="K18" s="4">
        <f t="shared" si="0"/>
        <v>107400</v>
      </c>
      <c r="L18" s="4">
        <f t="shared" si="1"/>
        <v>107400</v>
      </c>
      <c r="M18" s="2" t="str">
        <f t="shared" si="2"/>
        <v>High</v>
      </c>
      <c r="N18" s="4">
        <f t="shared" si="3"/>
        <v>107400</v>
      </c>
      <c r="O18" s="2" t="str">
        <f t="shared" si="4"/>
        <v>O10</v>
      </c>
      <c r="P18" s="2">
        <f t="shared" si="5"/>
        <v>3</v>
      </c>
      <c r="Q18" s="4">
        <f>_xlfn.SINGLE(_xlfn.XLOOKUP(E18,Lookup!$A$2:$A$6,Lookup!$C$2:$C$6,"Not Found"))</f>
        <v>18000</v>
      </c>
      <c r="R18" s="2" t="str">
        <f t="shared" si="6"/>
        <v>Within Standard</v>
      </c>
      <c r="S18" s="2" t="str">
        <f t="shared" si="7"/>
        <v>Retail</v>
      </c>
      <c r="T18" s="2" t="str">
        <f t="shared" si="8"/>
        <v>No</v>
      </c>
      <c r="U18" s="2" t="str">
        <f t="shared" si="9"/>
        <v>Flag</v>
      </c>
    </row>
    <row r="19" spans="1:21" x14ac:dyDescent="0.2">
      <c r="A19" s="2" t="s">
        <v>58</v>
      </c>
      <c r="B19" s="3">
        <v>46089</v>
      </c>
      <c r="C19" s="2" t="s">
        <v>28</v>
      </c>
      <c r="D19" s="2" t="s">
        <v>45</v>
      </c>
      <c r="E19" s="2" t="s">
        <v>35</v>
      </c>
      <c r="F19" s="2" t="s">
        <v>36</v>
      </c>
      <c r="G19" s="2">
        <v>14</v>
      </c>
      <c r="H19" s="4">
        <v>2250</v>
      </c>
      <c r="I19" s="5">
        <v>0.1</v>
      </c>
      <c r="J19" s="2" t="s">
        <v>26</v>
      </c>
      <c r="K19" s="4">
        <f t="shared" si="0"/>
        <v>31500</v>
      </c>
      <c r="L19" s="4">
        <f t="shared" si="1"/>
        <v>28350</v>
      </c>
      <c r="M19" s="2" t="str">
        <f t="shared" si="2"/>
        <v>Normal</v>
      </c>
      <c r="N19" s="4">
        <f t="shared" si="3"/>
        <v>28350</v>
      </c>
      <c r="O19" s="2" t="str">
        <f t="shared" si="4"/>
        <v>O10</v>
      </c>
      <c r="P19" s="2">
        <f t="shared" si="5"/>
        <v>3</v>
      </c>
      <c r="Q19" s="4">
        <f>_xlfn.SINGLE(_xlfn.XLOOKUP(E19,Lookup!$A$2:$A$6,Lookup!$C$2:$C$6,"Not Found"))</f>
        <v>2200</v>
      </c>
      <c r="R19" s="2" t="str">
        <f t="shared" si="6"/>
        <v>Above Standard</v>
      </c>
      <c r="S19" s="2" t="str">
        <f t="shared" si="7"/>
        <v>Retail</v>
      </c>
      <c r="T19" s="2" t="str">
        <f t="shared" si="8"/>
        <v>No</v>
      </c>
      <c r="U19" s="2" t="str">
        <f t="shared" si="9"/>
        <v>No</v>
      </c>
    </row>
    <row r="20" spans="1:21" x14ac:dyDescent="0.2">
      <c r="A20" s="2" t="s">
        <v>59</v>
      </c>
      <c r="B20" s="3">
        <v>46095</v>
      </c>
      <c r="C20" s="2" t="s">
        <v>33</v>
      </c>
      <c r="D20" s="2" t="s">
        <v>34</v>
      </c>
      <c r="E20" s="2" t="s">
        <v>40</v>
      </c>
      <c r="F20" s="2" t="s">
        <v>41</v>
      </c>
      <c r="G20" s="2">
        <v>7</v>
      </c>
      <c r="H20" s="4">
        <v>14600</v>
      </c>
      <c r="I20" s="5">
        <v>0.05</v>
      </c>
      <c r="J20" s="2" t="s">
        <v>31</v>
      </c>
      <c r="K20" s="4">
        <f t="shared" si="0"/>
        <v>102200</v>
      </c>
      <c r="L20" s="4">
        <f t="shared" si="1"/>
        <v>97090</v>
      </c>
      <c r="M20" s="2" t="str">
        <f t="shared" si="2"/>
        <v>Normal</v>
      </c>
      <c r="N20" s="4">
        <f t="shared" si="3"/>
        <v>97090</v>
      </c>
      <c r="O20" s="2" t="str">
        <f t="shared" si="4"/>
        <v>O10</v>
      </c>
      <c r="P20" s="2">
        <f t="shared" si="5"/>
        <v>3</v>
      </c>
      <c r="Q20" s="4">
        <f>_xlfn.SINGLE(_xlfn.XLOOKUP(E20,Lookup!$A$2:$A$6,Lookup!$C$2:$C$6,"Not Found"))</f>
        <v>14500</v>
      </c>
      <c r="R20" s="2" t="str">
        <f t="shared" si="6"/>
        <v>Above Standard</v>
      </c>
      <c r="S20" s="2" t="str">
        <f t="shared" si="7"/>
        <v>Corporate</v>
      </c>
      <c r="T20" s="2" t="str">
        <f t="shared" si="8"/>
        <v>Yes</v>
      </c>
      <c r="U20" s="2" t="str">
        <f t="shared" si="9"/>
        <v>Flag</v>
      </c>
    </row>
    <row r="21" spans="1:21" x14ac:dyDescent="0.2">
      <c r="A21" s="2" t="s">
        <v>60</v>
      </c>
      <c r="B21" s="3">
        <v>46100</v>
      </c>
      <c r="C21" s="2" t="s">
        <v>38</v>
      </c>
      <c r="D21" s="2" t="s">
        <v>39</v>
      </c>
      <c r="E21" s="2" t="s">
        <v>43</v>
      </c>
      <c r="F21" s="2" t="s">
        <v>36</v>
      </c>
      <c r="G21" s="2">
        <v>22</v>
      </c>
      <c r="H21" s="4">
        <v>920</v>
      </c>
      <c r="I21" s="5">
        <v>0</v>
      </c>
      <c r="J21" s="2" t="s">
        <v>26</v>
      </c>
      <c r="K21" s="4">
        <f t="shared" si="0"/>
        <v>20240</v>
      </c>
      <c r="L21" s="4">
        <f t="shared" si="1"/>
        <v>20240</v>
      </c>
      <c r="M21" s="2" t="str">
        <f t="shared" si="2"/>
        <v>Normal</v>
      </c>
      <c r="N21" s="4">
        <f t="shared" si="3"/>
        <v>20240</v>
      </c>
      <c r="O21" s="2" t="str">
        <f t="shared" si="4"/>
        <v>O10</v>
      </c>
      <c r="P21" s="2">
        <f t="shared" si="5"/>
        <v>3</v>
      </c>
      <c r="Q21" s="4">
        <f>_xlfn.SINGLE(_xlfn.XLOOKUP(E21,Lookup!$A$2:$A$6,Lookup!$C$2:$C$6,"Not Found"))</f>
        <v>900</v>
      </c>
      <c r="R21" s="2" t="str">
        <f t="shared" si="6"/>
        <v>Above Standard</v>
      </c>
      <c r="S21" s="2" t="str">
        <f t="shared" si="7"/>
        <v>Retail</v>
      </c>
      <c r="T21" s="2" t="str">
        <f t="shared" si="8"/>
        <v>No</v>
      </c>
      <c r="U21" s="2" t="str">
        <f t="shared" si="9"/>
        <v>No</v>
      </c>
    </row>
  </sheetData>
  <autoFilter ref="A1:U21" xr:uid="{00000000-0009-0000-0000-000000000000}"/>
  <conditionalFormatting sqref="H2:H21">
    <cfRule type="cellIs" dxfId="1" priority="1" operator="greaterThan">
      <formula>50000</formula>
    </cfRule>
  </conditionalFormatting>
  <conditionalFormatting sqref="I2:I21">
    <cfRule type="cellIs" dxfId="0" priority="2" operator="greaterThanOrEqual">
      <formula>0.1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"/>
  <cols>
    <col min="1" max="2" width="14.9296875" customWidth="1"/>
    <col min="3" max="3" width="18.0234375" customWidth="1"/>
  </cols>
  <sheetData>
    <row r="1" spans="1:3" x14ac:dyDescent="0.2">
      <c r="A1" s="6" t="s">
        <v>4</v>
      </c>
      <c r="B1" s="6" t="s">
        <v>5</v>
      </c>
      <c r="C1" s="6" t="s">
        <v>16</v>
      </c>
    </row>
    <row r="2" spans="1:3" x14ac:dyDescent="0.2">
      <c r="A2" t="s">
        <v>24</v>
      </c>
      <c r="B2" t="s">
        <v>25</v>
      </c>
      <c r="C2" s="7">
        <v>55000</v>
      </c>
    </row>
    <row r="3" spans="1:3" x14ac:dyDescent="0.2">
      <c r="A3" t="s">
        <v>30</v>
      </c>
      <c r="B3" t="s">
        <v>25</v>
      </c>
      <c r="C3" s="7">
        <v>18000</v>
      </c>
    </row>
    <row r="4" spans="1:3" x14ac:dyDescent="0.2">
      <c r="A4" t="s">
        <v>35</v>
      </c>
      <c r="B4" t="s">
        <v>36</v>
      </c>
      <c r="C4" s="7">
        <v>2200</v>
      </c>
    </row>
    <row r="5" spans="1:3" x14ac:dyDescent="0.2">
      <c r="A5" t="s">
        <v>40</v>
      </c>
      <c r="B5" t="s">
        <v>41</v>
      </c>
      <c r="C5" s="7">
        <v>14500</v>
      </c>
    </row>
    <row r="6" spans="1:3" x14ac:dyDescent="0.2">
      <c r="A6" t="s">
        <v>43</v>
      </c>
      <c r="B6" t="s">
        <v>36</v>
      </c>
      <c r="C6" s="7">
        <v>900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defaultRowHeight="15" x14ac:dyDescent="0.2"/>
  <cols>
    <col min="1" max="1" width="9.953125" customWidth="1"/>
    <col min="2" max="2" width="18.0234375" customWidth="1"/>
    <col min="3" max="3" width="64.97265625" customWidth="1"/>
    <col min="4" max="4" width="34.97265625" customWidth="1"/>
  </cols>
  <sheetData>
    <row r="1" spans="1:4" x14ac:dyDescent="0.2">
      <c r="A1" s="8" t="s">
        <v>61</v>
      </c>
      <c r="B1" s="8" t="s">
        <v>62</v>
      </c>
      <c r="C1" s="8" t="s">
        <v>63</v>
      </c>
      <c r="D1" s="8" t="s">
        <v>64</v>
      </c>
    </row>
    <row r="2" spans="1:4" x14ac:dyDescent="0.2">
      <c r="A2" s="9" t="s">
        <v>65</v>
      </c>
      <c r="B2" s="9" t="s">
        <v>66</v>
      </c>
      <c r="C2" s="9" t="s">
        <v>67</v>
      </c>
      <c r="D2" s="9" t="s">
        <v>68</v>
      </c>
    </row>
    <row r="3" spans="1:4" x14ac:dyDescent="0.2">
      <c r="A3" s="9" t="s">
        <v>65</v>
      </c>
      <c r="B3" s="9" t="s">
        <v>69</v>
      </c>
      <c r="C3" s="9" t="s">
        <v>70</v>
      </c>
      <c r="D3" s="9" t="s">
        <v>71</v>
      </c>
    </row>
    <row r="4" spans="1:4" x14ac:dyDescent="0.2">
      <c r="A4" s="9" t="s">
        <v>65</v>
      </c>
      <c r="B4" s="9" t="s">
        <v>72</v>
      </c>
      <c r="C4" s="9" t="s">
        <v>73</v>
      </c>
      <c r="D4" s="9" t="s">
        <v>71</v>
      </c>
    </row>
    <row r="5" spans="1:4" x14ac:dyDescent="0.2">
      <c r="A5" s="9" t="s">
        <v>65</v>
      </c>
      <c r="B5" s="9" t="s">
        <v>74</v>
      </c>
      <c r="C5" s="9" t="s">
        <v>75</v>
      </c>
      <c r="D5" s="9" t="s">
        <v>76</v>
      </c>
    </row>
    <row r="6" spans="1:4" x14ac:dyDescent="0.2">
      <c r="A6" s="9" t="s">
        <v>65</v>
      </c>
      <c r="B6" s="9" t="s">
        <v>77</v>
      </c>
      <c r="C6" s="9" t="s">
        <v>78</v>
      </c>
      <c r="D6" s="9" t="s">
        <v>79</v>
      </c>
    </row>
    <row r="7" spans="1:4" x14ac:dyDescent="0.2">
      <c r="A7" s="9" t="s">
        <v>65</v>
      </c>
      <c r="B7" s="9" t="s">
        <v>80</v>
      </c>
      <c r="C7" s="9" t="s">
        <v>81</v>
      </c>
      <c r="D7" s="9" t="s">
        <v>71</v>
      </c>
    </row>
    <row r="8" spans="1:4" x14ac:dyDescent="0.2">
      <c r="A8" s="9" t="s">
        <v>65</v>
      </c>
      <c r="B8" s="9" t="s">
        <v>82</v>
      </c>
      <c r="C8" s="9" t="s">
        <v>83</v>
      </c>
      <c r="D8" s="9" t="s">
        <v>71</v>
      </c>
    </row>
    <row r="9" spans="1:4" x14ac:dyDescent="0.2">
      <c r="A9" s="9" t="s">
        <v>65</v>
      </c>
      <c r="B9" s="9" t="s">
        <v>84</v>
      </c>
      <c r="C9" s="9" t="s">
        <v>85</v>
      </c>
      <c r="D9" s="9" t="s">
        <v>86</v>
      </c>
    </row>
    <row r="10" spans="1:4" x14ac:dyDescent="0.2">
      <c r="A10" s="9" t="s">
        <v>87</v>
      </c>
      <c r="B10" s="9" t="s">
        <v>66</v>
      </c>
      <c r="C10" s="9" t="e">
        <f ca="1">Units*Unit _xludf.Price</f>
        <v>#NAME?</v>
      </c>
      <c r="D10" s="9" t="s">
        <v>88</v>
      </c>
    </row>
    <row r="11" spans="1:4" x14ac:dyDescent="0.2">
      <c r="A11" s="9" t="s">
        <v>87</v>
      </c>
      <c r="B11" s="9" t="s">
        <v>69</v>
      </c>
      <c r="C11" s="9" t="e">
        <f ca="1">Gross Sales*(1-Discount)</f>
        <v>#NAME?</v>
      </c>
      <c r="D11" s="9" t="s">
        <v>89</v>
      </c>
    </row>
    <row r="12" spans="1:4" x14ac:dyDescent="0.2">
      <c r="A12" s="9" t="s">
        <v>87</v>
      </c>
      <c r="B12" s="9" t="s">
        <v>72</v>
      </c>
      <c r="C12" s="9"/>
      <c r="D12" s="9"/>
    </row>
    <row r="13" spans="1:4" x14ac:dyDescent="0.2">
      <c r="A13" s="9" t="s">
        <v>87</v>
      </c>
      <c r="B13" s="9" t="s">
        <v>74</v>
      </c>
      <c r="C13" s="9" t="e">
        <f>AVERAGE(H2:H21)</f>
        <v>#DIV/0!</v>
      </c>
      <c r="D13" s="9" t="e">
        <f>AVERAGE(H2:H21)</f>
        <v>#DIV/0!</v>
      </c>
    </row>
    <row r="14" spans="1:4" x14ac:dyDescent="0.2">
      <c r="A14" s="9" t="s">
        <v>87</v>
      </c>
      <c r="B14" s="9" t="s">
        <v>77</v>
      </c>
      <c r="C14" s="9"/>
      <c r="D14" s="9"/>
    </row>
    <row r="15" spans="1:4" x14ac:dyDescent="0.2">
      <c r="A15" s="9" t="s">
        <v>87</v>
      </c>
      <c r="B15" s="9" t="s">
        <v>80</v>
      </c>
      <c r="C15" s="9"/>
      <c r="D15" s="9" t="s">
        <v>90</v>
      </c>
    </row>
    <row r="16" spans="1:4" x14ac:dyDescent="0.2">
      <c r="A16" s="9" t="s">
        <v>87</v>
      </c>
      <c r="B16" s="9" t="s">
        <v>82</v>
      </c>
      <c r="C16" s="9">
        <f>COUNTIF(F2:F21,"Electronics")</f>
        <v>0</v>
      </c>
      <c r="D16" s="9">
        <f>COUNTIF(F2:F21,"Electronics")</f>
        <v>0</v>
      </c>
    </row>
    <row r="17" spans="1:4" x14ac:dyDescent="0.2">
      <c r="A17" s="9" t="s">
        <v>87</v>
      </c>
      <c r="B17" s="9" t="s">
        <v>84</v>
      </c>
      <c r="C17" s="9">
        <f>SUMIF(C2:C21,"North",L2:L21)</f>
        <v>0</v>
      </c>
      <c r="D17" s="9">
        <f>SUMIF(C2:C21,"North",L2:L21)</f>
        <v>0</v>
      </c>
    </row>
    <row r="18" spans="1:4" x14ac:dyDescent="0.2">
      <c r="A18" s="9" t="s">
        <v>87</v>
      </c>
      <c r="B18" s="9" t="s">
        <v>91</v>
      </c>
      <c r="C18" s="9" t="str">
        <f ca="1">SUMIFS(L2:L21,C2:C21,"West",J2:J21,"Corporate")</f>
        <v/>
      </c>
      <c r="D18" s="9" t="str">
        <f ca="1">SUMIFS(L2:L21,C2:C21,"West",J2:J21,"Corporate")</f>
        <v/>
      </c>
    </row>
    <row r="19" spans="1:4" x14ac:dyDescent="0.2">
      <c r="A19" s="9" t="s">
        <v>87</v>
      </c>
      <c r="B19" s="9" t="s">
        <v>92</v>
      </c>
      <c r="C19" s="9">
        <f>COUNTIFS(F2:F21,"Accessories",J2:J21,"Retail")</f>
        <v>0</v>
      </c>
      <c r="D19" s="9">
        <f>COUNTIFS(F2:F21,"Accessories",J2:J21,"Retail")</f>
        <v>0</v>
      </c>
    </row>
    <row r="20" spans="1:4" x14ac:dyDescent="0.2">
      <c r="A20" s="9" t="s">
        <v>87</v>
      </c>
      <c r="B20" s="9" t="s">
        <v>93</v>
      </c>
      <c r="C20" s="9" t="str">
        <f>IF(L2&gt;=100000,"High","Normal")</f>
        <v>Normal</v>
      </c>
      <c r="D20" s="9" t="s">
        <v>94</v>
      </c>
    </row>
    <row r="21" spans="1:4" x14ac:dyDescent="0.2">
      <c r="A21" s="9" t="s">
        <v>87</v>
      </c>
      <c r="B21" s="9" t="s">
        <v>95</v>
      </c>
      <c r="C21" s="9">
        <f>ROUND(L2,0)</f>
        <v>0</v>
      </c>
      <c r="D21" s="9" t="s">
        <v>96</v>
      </c>
    </row>
    <row r="22" spans="1:4" x14ac:dyDescent="0.2">
      <c r="A22" s="9" t="s">
        <v>87</v>
      </c>
      <c r="B22" s="9" t="s">
        <v>97</v>
      </c>
      <c r="C22" s="9" t="str">
        <f>LEFT(A2,3)</f>
        <v>A</v>
      </c>
      <c r="D22" s="9" t="s">
        <v>98</v>
      </c>
    </row>
    <row r="23" spans="1:4" x14ac:dyDescent="0.2">
      <c r="A23" s="9" t="s">
        <v>87</v>
      </c>
      <c r="B23" s="9" t="s">
        <v>99</v>
      </c>
      <c r="C23" s="9">
        <f>MONTH(B2)</f>
        <v>1</v>
      </c>
      <c r="D23" s="9" t="s">
        <v>100</v>
      </c>
    </row>
    <row r="24" spans="1:4" x14ac:dyDescent="0.2">
      <c r="A24" s="9" t="s">
        <v>101</v>
      </c>
      <c r="B24" s="9" t="s">
        <v>66</v>
      </c>
      <c r="C24" s="9" t="s">
        <v>102</v>
      </c>
      <c r="D24" s="9" t="s">
        <v>103</v>
      </c>
    </row>
    <row r="25" spans="1:4" x14ac:dyDescent="0.2">
      <c r="A25" s="9" t="s">
        <v>101</v>
      </c>
      <c r="B25" s="9" t="s">
        <v>69</v>
      </c>
      <c r="C25" s="9" t="s">
        <v>104</v>
      </c>
      <c r="D25" s="9" t="s">
        <v>103</v>
      </c>
    </row>
    <row r="26" spans="1:4" x14ac:dyDescent="0.2">
      <c r="A26" s="9" t="s">
        <v>101</v>
      </c>
      <c r="B26" s="9" t="s">
        <v>72</v>
      </c>
      <c r="C26" s="9" t="str">
        <f>IF(H2&gt;Q2,"Above Standard","Within Standard")</f>
        <v>Within Standard</v>
      </c>
      <c r="D26" s="9" t="s">
        <v>105</v>
      </c>
    </row>
    <row r="27" spans="1:4" x14ac:dyDescent="0.2">
      <c r="A27" s="9" t="s">
        <v>101</v>
      </c>
      <c r="B27" s="9" t="s">
        <v>74</v>
      </c>
      <c r="C27" s="9" t="str">
        <f>IF(J2="Retail","Retail","Corporate")</f>
        <v>Corporate</v>
      </c>
      <c r="D27" s="9" t="s">
        <v>106</v>
      </c>
    </row>
    <row r="28" spans="1:4" x14ac:dyDescent="0.2">
      <c r="A28" s="9" t="s">
        <v>101</v>
      </c>
      <c r="B28" s="9" t="s">
        <v>77</v>
      </c>
      <c r="C28" s="9" t="str">
        <f>IF(AND(J2="Corporate",I2&gt;=5%),"Yes","No")</f>
        <v>No</v>
      </c>
      <c r="D28" s="9" t="s">
        <v>107</v>
      </c>
    </row>
    <row r="29" spans="1:4" x14ac:dyDescent="0.2">
      <c r="A29" s="9" t="s">
        <v>101</v>
      </c>
      <c r="B29" s="9" t="s">
        <v>80</v>
      </c>
      <c r="C29" s="9" t="str">
        <f>IF(OR(C2="North",C2="South"),"Flag","No")</f>
        <v>No</v>
      </c>
      <c r="D29" s="9" t="s">
        <v>108</v>
      </c>
    </row>
    <row r="30" spans="1:4" x14ac:dyDescent="0.2">
      <c r="A30" s="9" t="s">
        <v>109</v>
      </c>
      <c r="B30" s="9" t="s">
        <v>66</v>
      </c>
      <c r="C30" s="9" t="s">
        <v>110</v>
      </c>
      <c r="D30" s="9" t="s">
        <v>111</v>
      </c>
    </row>
    <row r="31" spans="1:4" x14ac:dyDescent="0.2">
      <c r="A31" s="9" t="s">
        <v>109</v>
      </c>
      <c r="B31" s="9" t="s">
        <v>69</v>
      </c>
      <c r="C31" s="9" t="s">
        <v>112</v>
      </c>
      <c r="D31" s="9" t="s">
        <v>111</v>
      </c>
    </row>
    <row r="32" spans="1:4" x14ac:dyDescent="0.2">
      <c r="A32" s="9" t="s">
        <v>109</v>
      </c>
      <c r="B32" s="9" t="s">
        <v>72</v>
      </c>
      <c r="C32" s="9" t="s">
        <v>113</v>
      </c>
      <c r="D32" s="9" t="s">
        <v>111</v>
      </c>
    </row>
    <row r="33" spans="1:4" x14ac:dyDescent="0.2">
      <c r="A33" s="9" t="s">
        <v>109</v>
      </c>
      <c r="B33" s="9" t="s">
        <v>74</v>
      </c>
      <c r="C33" s="9" t="s">
        <v>114</v>
      </c>
      <c r="D33" s="9" t="s">
        <v>111</v>
      </c>
    </row>
    <row r="34" spans="1:4" x14ac:dyDescent="0.2">
      <c r="A34" s="9" t="s">
        <v>109</v>
      </c>
      <c r="B34" s="9" t="s">
        <v>77</v>
      </c>
      <c r="C34" s="9" t="s">
        <v>115</v>
      </c>
      <c r="D34" s="9" t="s">
        <v>111</v>
      </c>
    </row>
    <row r="35" spans="1:4" x14ac:dyDescent="0.2">
      <c r="A35" s="9" t="s">
        <v>109</v>
      </c>
      <c r="B35" s="9" t="s">
        <v>80</v>
      </c>
      <c r="C35" s="9" t="s">
        <v>116</v>
      </c>
      <c r="D35" s="9" t="s">
        <v>111</v>
      </c>
    </row>
    <row r="36" spans="1:4" x14ac:dyDescent="0.2">
      <c r="A36" s="9" t="s">
        <v>109</v>
      </c>
      <c r="B36" s="9" t="s">
        <v>82</v>
      </c>
      <c r="C36" s="9" t="s">
        <v>117</v>
      </c>
      <c r="D36" s="9" t="s">
        <v>111</v>
      </c>
    </row>
    <row r="37" spans="1:4" x14ac:dyDescent="0.2">
      <c r="A37" s="9" t="s">
        <v>109</v>
      </c>
      <c r="B37" s="9" t="s">
        <v>84</v>
      </c>
      <c r="C37" s="9" t="s">
        <v>118</v>
      </c>
      <c r="D37" s="9" t="s">
        <v>111</v>
      </c>
    </row>
    <row r="38" spans="1:4" x14ac:dyDescent="0.2">
      <c r="A38" s="9" t="s">
        <v>109</v>
      </c>
      <c r="B38" s="9" t="s">
        <v>91</v>
      </c>
      <c r="C38" s="9" t="s">
        <v>119</v>
      </c>
      <c r="D38" s="9" t="s">
        <v>111</v>
      </c>
    </row>
    <row r="39" spans="1:4" ht="27.75" x14ac:dyDescent="0.2">
      <c r="A39" s="9" t="s">
        <v>109</v>
      </c>
      <c r="B39" s="9" t="s">
        <v>92</v>
      </c>
      <c r="C39" s="9" t="s">
        <v>120</v>
      </c>
      <c r="D39" s="9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/>
  </sheetViews>
  <sheetFormatPr defaultRowHeight="15" x14ac:dyDescent="0.2"/>
  <cols>
    <col min="1" max="13" width="18.0234375" customWidth="1"/>
  </cols>
  <sheetData>
    <row r="1" spans="1:13" ht="21" x14ac:dyDescent="0.3">
      <c r="A1" s="10" t="s">
        <v>122</v>
      </c>
    </row>
    <row r="3" spans="1:13" x14ac:dyDescent="0.2">
      <c r="A3" s="6" t="s">
        <v>2</v>
      </c>
      <c r="B3" s="6" t="s">
        <v>123</v>
      </c>
      <c r="D3" s="6" t="s">
        <v>4</v>
      </c>
      <c r="E3" s="6" t="s">
        <v>124</v>
      </c>
      <c r="G3" s="6" t="s">
        <v>2</v>
      </c>
      <c r="H3" s="6" t="s">
        <v>36</v>
      </c>
      <c r="I3" s="6" t="s">
        <v>25</v>
      </c>
      <c r="J3" s="6" t="s">
        <v>41</v>
      </c>
      <c r="L3" s="6" t="s">
        <v>3</v>
      </c>
      <c r="M3" s="6" t="s">
        <v>123</v>
      </c>
    </row>
    <row r="4" spans="1:13" x14ac:dyDescent="0.2">
      <c r="A4" t="s">
        <v>38</v>
      </c>
      <c r="B4" s="7">
        <v>411740</v>
      </c>
      <c r="D4" t="s">
        <v>35</v>
      </c>
      <c r="E4">
        <v>51</v>
      </c>
      <c r="G4" t="s">
        <v>38</v>
      </c>
      <c r="H4" s="7">
        <v>48590</v>
      </c>
      <c r="I4" s="7">
        <v>308050</v>
      </c>
      <c r="J4" s="7">
        <v>55100</v>
      </c>
      <c r="L4" t="s">
        <v>23</v>
      </c>
      <c r="M4" s="7">
        <v>282150</v>
      </c>
    </row>
    <row r="5" spans="1:13" x14ac:dyDescent="0.2">
      <c r="A5" t="s">
        <v>22</v>
      </c>
      <c r="B5" s="7">
        <v>394000</v>
      </c>
      <c r="D5" t="s">
        <v>24</v>
      </c>
      <c r="E5">
        <v>12</v>
      </c>
      <c r="G5" t="s">
        <v>22</v>
      </c>
      <c r="H5" s="7">
        <v>39850</v>
      </c>
      <c r="I5" s="7">
        <v>264150</v>
      </c>
      <c r="J5" s="7">
        <v>90000</v>
      </c>
      <c r="L5" t="s">
        <v>29</v>
      </c>
      <c r="M5" s="7">
        <v>90000</v>
      </c>
    </row>
    <row r="6" spans="1:13" x14ac:dyDescent="0.2">
      <c r="A6" t="s">
        <v>33</v>
      </c>
      <c r="B6" s="7">
        <v>449265</v>
      </c>
      <c r="D6" t="s">
        <v>30</v>
      </c>
      <c r="E6">
        <v>26</v>
      </c>
      <c r="G6" t="s">
        <v>33</v>
      </c>
      <c r="H6" s="7">
        <v>39600</v>
      </c>
      <c r="I6" s="7">
        <v>312575</v>
      </c>
      <c r="J6" s="7">
        <v>97090</v>
      </c>
      <c r="L6" t="s">
        <v>34</v>
      </c>
      <c r="M6" s="7">
        <v>449265</v>
      </c>
    </row>
    <row r="7" spans="1:13" x14ac:dyDescent="0.2">
      <c r="A7" t="s">
        <v>28</v>
      </c>
      <c r="B7" s="7">
        <v>309657.5</v>
      </c>
      <c r="D7" t="s">
        <v>43</v>
      </c>
      <c r="E7">
        <v>85</v>
      </c>
      <c r="G7" t="s">
        <v>28</v>
      </c>
      <c r="H7" s="7">
        <v>48537.5</v>
      </c>
      <c r="I7" s="7">
        <v>193040</v>
      </c>
      <c r="J7" s="7">
        <v>68080</v>
      </c>
      <c r="L7" t="s">
        <v>39</v>
      </c>
      <c r="M7" s="7">
        <v>411740</v>
      </c>
    </row>
    <row r="8" spans="1:13" x14ac:dyDescent="0.2">
      <c r="D8" t="s">
        <v>40</v>
      </c>
      <c r="E8">
        <v>22</v>
      </c>
      <c r="L8" t="s">
        <v>45</v>
      </c>
      <c r="M8" s="7">
        <v>219657.5</v>
      </c>
    </row>
    <row r="9" spans="1:13" x14ac:dyDescent="0.2">
      <c r="L9" t="s">
        <v>49</v>
      </c>
      <c r="M9" s="7">
        <v>111850</v>
      </c>
    </row>
    <row r="12" spans="1:13" x14ac:dyDescent="0.2">
      <c r="A12" s="6" t="s">
        <v>9</v>
      </c>
      <c r="B12" s="6" t="s">
        <v>123</v>
      </c>
      <c r="D12" s="6" t="s">
        <v>125</v>
      </c>
      <c r="E12" s="6" t="s">
        <v>123</v>
      </c>
      <c r="G12" s="6" t="s">
        <v>5</v>
      </c>
      <c r="H12" s="6" t="s">
        <v>126</v>
      </c>
      <c r="J12" s="6" t="s">
        <v>118</v>
      </c>
      <c r="K12" s="6" t="s">
        <v>33</v>
      </c>
    </row>
    <row r="13" spans="1:13" x14ac:dyDescent="0.2">
      <c r="A13" t="s">
        <v>31</v>
      </c>
      <c r="B13" s="7">
        <v>861960</v>
      </c>
      <c r="D13" t="s">
        <v>127</v>
      </c>
      <c r="E13" s="7">
        <v>681375</v>
      </c>
      <c r="G13" t="s">
        <v>36</v>
      </c>
      <c r="H13" s="7">
        <v>1550</v>
      </c>
      <c r="J13" t="s">
        <v>128</v>
      </c>
      <c r="K13" s="7">
        <v>449265</v>
      </c>
    </row>
    <row r="14" spans="1:13" x14ac:dyDescent="0.2">
      <c r="A14" t="s">
        <v>26</v>
      </c>
      <c r="B14" s="7">
        <v>702702.5</v>
      </c>
      <c r="D14" t="s">
        <v>129</v>
      </c>
      <c r="E14" s="7">
        <v>630207.5</v>
      </c>
      <c r="G14" t="s">
        <v>25</v>
      </c>
      <c r="H14" s="7">
        <v>36762.5</v>
      </c>
    </row>
    <row r="15" spans="1:13" x14ac:dyDescent="0.2">
      <c r="D15" t="s">
        <v>130</v>
      </c>
      <c r="E15" s="7">
        <v>253080</v>
      </c>
      <c r="G15" t="s">
        <v>41</v>
      </c>
      <c r="H15" s="7">
        <v>14725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1" width="14.9296875" customWidth="1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">
      <c r="A2" t="s">
        <v>56</v>
      </c>
      <c r="B2" s="11">
        <v>46078</v>
      </c>
      <c r="C2" t="s">
        <v>38</v>
      </c>
      <c r="D2" t="s">
        <v>39</v>
      </c>
      <c r="E2" t="s">
        <v>24</v>
      </c>
      <c r="F2" t="s">
        <v>25</v>
      </c>
      <c r="G2">
        <v>3</v>
      </c>
      <c r="H2" s="7">
        <v>57000</v>
      </c>
      <c r="I2" s="12">
        <v>0.05</v>
      </c>
      <c r="J2" t="s">
        <v>31</v>
      </c>
      <c r="K2" s="7">
        <f>G17*H17</f>
        <v>112000</v>
      </c>
      <c r="L2" s="7">
        <f>K17*(1-I17)</f>
        <v>151800</v>
      </c>
      <c r="M2" t="str">
        <f>IF(L17&gt;=100000,"High","Normal")</f>
        <v>High</v>
      </c>
      <c r="N2" s="7">
        <f>ROUND(L17,0)</f>
        <v>162450</v>
      </c>
      <c r="O2" t="str">
        <f>LEFT(A17,3)</f>
        <v>O10</v>
      </c>
      <c r="P2">
        <f>MONTH(B17)</f>
        <v>1</v>
      </c>
      <c r="Q2" s="7" t="e">
        <f ca="1">_xludf.XLOOKUP(E17,Lookup!$A$2:$A$6,Lookup!$C$2:$C$6,"Not Found")</f>
        <v>#NAME?</v>
      </c>
      <c r="R2" t="e">
        <f ca="1">IF(H17&gt;Q17,"Above Standard","Within Standard")</f>
        <v>#NAME?</v>
      </c>
      <c r="S2" t="str">
        <f>IF(J17="Retail","Retail","Corporate")</f>
        <v>Corporate</v>
      </c>
      <c r="T2" t="str">
        <f>IF(AND(J17="Corporate",I17&gt;=5%),"Yes","No")</f>
        <v>Yes</v>
      </c>
      <c r="U2" t="str">
        <f>IF(OR(C17="North",C17="South"),"Flag","No")</f>
        <v>No</v>
      </c>
    </row>
    <row r="3" spans="1:21" x14ac:dyDescent="0.2">
      <c r="A3" t="s">
        <v>52</v>
      </c>
      <c r="B3" s="11">
        <v>46062</v>
      </c>
      <c r="C3" t="s">
        <v>38</v>
      </c>
      <c r="D3" t="s">
        <v>39</v>
      </c>
      <c r="E3" t="s">
        <v>30</v>
      </c>
      <c r="F3" t="s">
        <v>25</v>
      </c>
      <c r="G3">
        <v>8</v>
      </c>
      <c r="H3" s="7">
        <v>18200</v>
      </c>
      <c r="I3" s="12">
        <v>0</v>
      </c>
      <c r="J3" t="s">
        <v>26</v>
      </c>
      <c r="K3" s="7">
        <f>G13*H13</f>
        <v>122500</v>
      </c>
      <c r="L3" s="7">
        <f>K13*(1-I13)</f>
        <v>102030</v>
      </c>
      <c r="M3" t="str">
        <f>IF(L13&gt;=100000,"High","Normal")</f>
        <v>Normal</v>
      </c>
      <c r="N3" s="7">
        <f>ROUND(L13,0)</f>
        <v>90000</v>
      </c>
      <c r="O3" t="str">
        <f>LEFT(A13,3)</f>
        <v>O10</v>
      </c>
      <c r="P3">
        <f>MONTH(B13)</f>
        <v>1</v>
      </c>
      <c r="Q3" s="7" t="e">
        <f ca="1">_xludf.XLOOKUP(E13,Lookup!$A$2:$A$6,Lookup!$C$2:$C$6,"Not Found")</f>
        <v>#NAME?</v>
      </c>
      <c r="R3" t="e">
        <f ca="1">IF(H13&gt;Q13,"Above Standard","Within Standard")</f>
        <v>#NAME?</v>
      </c>
      <c r="S3" t="str">
        <f>IF(J13="Retail","Retail","Corporate")</f>
        <v>Retail</v>
      </c>
      <c r="T3" t="str">
        <f>IF(AND(J13="Corporate",I13&gt;=5%),"Yes","No")</f>
        <v>No</v>
      </c>
      <c r="U3" t="str">
        <f>IF(OR(C13="North",C13="South"),"Flag","No")</f>
        <v>Flag</v>
      </c>
    </row>
    <row r="4" spans="1:21" x14ac:dyDescent="0.2">
      <c r="A4" t="s">
        <v>37</v>
      </c>
      <c r="B4" s="11">
        <v>46034</v>
      </c>
      <c r="C4" t="s">
        <v>38</v>
      </c>
      <c r="D4" t="s">
        <v>39</v>
      </c>
      <c r="E4" t="s">
        <v>40</v>
      </c>
      <c r="F4" t="s">
        <v>41</v>
      </c>
      <c r="G4">
        <v>4</v>
      </c>
      <c r="H4" s="7">
        <v>14500</v>
      </c>
      <c r="I4" s="12">
        <v>0.05</v>
      </c>
      <c r="J4" t="s">
        <v>31</v>
      </c>
      <c r="K4" s="7">
        <f>G5*H5</f>
        <v>31500</v>
      </c>
      <c r="L4" s="7">
        <f>K5*(1-I5)</f>
        <v>81000</v>
      </c>
      <c r="M4" t="str">
        <f>IF(L5&gt;=100000,"High","Normal")</f>
        <v>Normal</v>
      </c>
      <c r="N4" s="7">
        <f>ROUND(L5,0)</f>
        <v>23000</v>
      </c>
      <c r="O4" t="str">
        <f>LEFT(A5,3)</f>
        <v>O10</v>
      </c>
      <c r="P4">
        <f>MONTH(B5)</f>
        <v>1</v>
      </c>
      <c r="Q4" s="7" t="e">
        <f ca="1">_xludf.XLOOKUP(E5,Lookup!$A$2:$A$6,Lookup!$C$2:$C$6,"Not Found")</f>
        <v>#NAME?</v>
      </c>
      <c r="R4" t="e">
        <f ca="1">IF(H5&gt;Q5,"Above Standard","Within Standard")</f>
        <v>#NAME?</v>
      </c>
      <c r="S4" t="str">
        <f>IF(J5="Retail","Retail","Corporate")</f>
        <v>Retail</v>
      </c>
      <c r="T4" t="str">
        <f>IF(AND(J5="Corporate",I5&gt;=5%),"Yes","No")</f>
        <v>No</v>
      </c>
      <c r="U4" t="str">
        <f>IF(OR(C5="North",C5="South"),"Flag","No")</f>
        <v>No</v>
      </c>
    </row>
    <row r="5" spans="1:21" x14ac:dyDescent="0.2">
      <c r="A5" t="s">
        <v>47</v>
      </c>
      <c r="B5" s="11">
        <v>46046</v>
      </c>
      <c r="C5" t="s">
        <v>38</v>
      </c>
      <c r="D5" t="s">
        <v>39</v>
      </c>
      <c r="E5" t="s">
        <v>35</v>
      </c>
      <c r="F5" t="s">
        <v>36</v>
      </c>
      <c r="G5">
        <v>15</v>
      </c>
      <c r="H5" s="7">
        <v>2100</v>
      </c>
      <c r="I5" s="12">
        <v>0.1</v>
      </c>
      <c r="J5" t="s">
        <v>26</v>
      </c>
      <c r="K5" s="7">
        <f>G9*H9</f>
        <v>90000</v>
      </c>
      <c r="L5" s="7">
        <f>K9*(1-I9)</f>
        <v>23000</v>
      </c>
      <c r="M5" t="str">
        <f>IF(L9&gt;=100000,"High","Normal")</f>
        <v>Normal</v>
      </c>
      <c r="N5" s="7">
        <f>ROUND(L9,0)</f>
        <v>97090</v>
      </c>
      <c r="O5" t="str">
        <f>LEFT(A9,3)</f>
        <v>O10</v>
      </c>
      <c r="P5">
        <f>MONTH(B9)</f>
        <v>1</v>
      </c>
      <c r="Q5" s="7" t="e">
        <f ca="1">_xludf.XLOOKUP(E9,Lookup!$A$2:$A$6,Lookup!$C$2:$C$6,"Not Found")</f>
        <v>#NAME?</v>
      </c>
      <c r="R5" t="e">
        <f ca="1">IF(H9&gt;Q9,"Above Standard","Within Standard")</f>
        <v>#NAME?</v>
      </c>
      <c r="S5" t="str">
        <f>IF(J9="Retail","Retail","Corporate")</f>
        <v>Corporate</v>
      </c>
      <c r="T5" t="str">
        <f>IF(AND(J9="Corporate",I9&gt;=5%),"Yes","No")</f>
        <v>No</v>
      </c>
      <c r="U5" t="str">
        <f>IF(OR(C9="North",C9="South"),"Flag","No")</f>
        <v>Flag</v>
      </c>
    </row>
    <row r="6" spans="1:21" x14ac:dyDescent="0.2">
      <c r="A6" t="s">
        <v>60</v>
      </c>
      <c r="B6" s="11">
        <v>46100</v>
      </c>
      <c r="C6" t="s">
        <v>38</v>
      </c>
      <c r="D6" t="s">
        <v>39</v>
      </c>
      <c r="E6" t="s">
        <v>43</v>
      </c>
      <c r="F6" t="s">
        <v>36</v>
      </c>
      <c r="G6">
        <v>22</v>
      </c>
      <c r="H6" s="7">
        <v>920</v>
      </c>
      <c r="I6" s="12">
        <v>0</v>
      </c>
      <c r="J6" t="s">
        <v>26</v>
      </c>
      <c r="K6" s="7">
        <f>G21*H21</f>
        <v>21250</v>
      </c>
      <c r="L6" s="7">
        <f>K21*(1-I21)</f>
        <v>17100</v>
      </c>
      <c r="M6" t="str">
        <f>IF(L21&gt;=100000,"High","Normal")</f>
        <v>Normal</v>
      </c>
      <c r="N6" s="7">
        <f>ROUND(L21,0)</f>
        <v>20240</v>
      </c>
      <c r="O6" t="str">
        <f>LEFT(A21,3)</f>
        <v>O10</v>
      </c>
      <c r="P6">
        <f>MONTH(B21)</f>
        <v>2</v>
      </c>
      <c r="Q6" s="7" t="e">
        <f ca="1">_xludf.XLOOKUP(E21,Lookup!$A$2:$A$6,Lookup!$C$2:$C$6,"Not Found")</f>
        <v>#NAME?</v>
      </c>
      <c r="R6" t="e">
        <f ca="1">IF(H21&gt;Q21,"Above Standard","Within Standard")</f>
        <v>#NAME?</v>
      </c>
      <c r="S6" t="str">
        <f>IF(J21="Retail","Retail","Corporate")</f>
        <v>Retail</v>
      </c>
      <c r="T6" t="str">
        <f>IF(AND(J21="Corporate",I21&gt;=5%),"Yes","No")</f>
        <v>No</v>
      </c>
      <c r="U6" t="str">
        <f>IF(OR(C21="North",C21="South"),"Flag","No")</f>
        <v>No</v>
      </c>
    </row>
    <row r="7" spans="1:21" x14ac:dyDescent="0.2">
      <c r="A7" t="s">
        <v>21</v>
      </c>
      <c r="B7" s="11">
        <v>46027</v>
      </c>
      <c r="C7" t="s">
        <v>22</v>
      </c>
      <c r="D7" t="s">
        <v>23</v>
      </c>
      <c r="E7" t="s">
        <v>24</v>
      </c>
      <c r="F7" t="s">
        <v>25</v>
      </c>
      <c r="G7">
        <v>3</v>
      </c>
      <c r="H7" s="7">
        <v>55000</v>
      </c>
      <c r="I7" s="12">
        <v>0.05</v>
      </c>
      <c r="J7" t="s">
        <v>26</v>
      </c>
      <c r="K7" s="7">
        <f>G2*H2</f>
        <v>171000</v>
      </c>
      <c r="L7" s="7">
        <f>K2*(1-I2)</f>
        <v>106400</v>
      </c>
      <c r="M7" t="str">
        <f>IF(L2&gt;=100000,"High","Normal")</f>
        <v>High</v>
      </c>
      <c r="N7" s="7">
        <f>ROUND(L2,0)</f>
        <v>151800</v>
      </c>
      <c r="O7" t="str">
        <f>LEFT(A2,3)</f>
        <v>O10</v>
      </c>
      <c r="P7">
        <f>MONTH(B2)</f>
        <v>2</v>
      </c>
      <c r="Q7" s="7" t="e">
        <f ca="1">_xludf.XLOOKUP(E2,Lookup!$A$2:$A$6,Lookup!$C$2:$C$6,"Not Found")</f>
        <v>#NAME?</v>
      </c>
      <c r="R7" t="e">
        <f ca="1">IF(H2&gt;Q2,"Above Standard","Within Standard")</f>
        <v>#NAME?</v>
      </c>
      <c r="S7" t="str">
        <f>IF(J2="Retail","Retail","Corporate")</f>
        <v>Corporate</v>
      </c>
      <c r="T7" t="str">
        <f>IF(AND(J2="Corporate",I2&gt;=5%),"Yes","No")</f>
        <v>Yes</v>
      </c>
      <c r="U7" t="str">
        <f>IF(OR(C2="North",C2="South"),"Flag","No")</f>
        <v>No</v>
      </c>
    </row>
    <row r="8" spans="1:21" x14ac:dyDescent="0.2">
      <c r="A8" t="s">
        <v>57</v>
      </c>
      <c r="B8" s="11">
        <v>46084</v>
      </c>
      <c r="C8" t="s">
        <v>22</v>
      </c>
      <c r="D8" t="s">
        <v>23</v>
      </c>
      <c r="E8" t="s">
        <v>30</v>
      </c>
      <c r="F8" t="s">
        <v>25</v>
      </c>
      <c r="G8">
        <v>6</v>
      </c>
      <c r="H8" s="7">
        <v>17900</v>
      </c>
      <c r="I8" s="12">
        <v>0</v>
      </c>
      <c r="J8" t="s">
        <v>26</v>
      </c>
      <c r="K8" s="7">
        <f>G18*H18</f>
        <v>90000</v>
      </c>
      <c r="L8" s="7">
        <f>K18*(1-I18)</f>
        <v>145600</v>
      </c>
      <c r="M8" t="str">
        <f>IF(L18&gt;=100000,"High","Normal")</f>
        <v>High</v>
      </c>
      <c r="N8" s="7">
        <f>ROUND(L18,0)</f>
        <v>122500</v>
      </c>
      <c r="O8" t="str">
        <f>LEFT(A18,3)</f>
        <v>O10</v>
      </c>
      <c r="P8">
        <f>MONTH(B18)</f>
        <v>1</v>
      </c>
      <c r="Q8" s="7" t="e">
        <f ca="1">_xludf.XLOOKUP(E18,Lookup!$A$2:$A$6,Lookup!$C$2:$C$6,"Not Found")</f>
        <v>#NAME?</v>
      </c>
      <c r="R8" t="e">
        <f ca="1">IF(H18&gt;Q18,"Above Standard","Within Standard")</f>
        <v>#NAME?</v>
      </c>
      <c r="S8" t="str">
        <f>IF(J18="Retail","Retail","Corporate")</f>
        <v>Corporate</v>
      </c>
      <c r="T8" t="str">
        <f>IF(AND(J18="Corporate",I18&gt;=5%),"Yes","No")</f>
        <v>No</v>
      </c>
      <c r="U8" t="str">
        <f>IF(OR(C18="North",C18="South"),"Flag","No")</f>
        <v>No</v>
      </c>
    </row>
    <row r="9" spans="1:21" x14ac:dyDescent="0.2">
      <c r="A9" t="s">
        <v>48</v>
      </c>
      <c r="B9" s="11">
        <v>46050</v>
      </c>
      <c r="C9" t="s">
        <v>22</v>
      </c>
      <c r="D9" t="s">
        <v>49</v>
      </c>
      <c r="E9" t="s">
        <v>40</v>
      </c>
      <c r="F9" t="s">
        <v>41</v>
      </c>
      <c r="G9">
        <v>6</v>
      </c>
      <c r="H9" s="7">
        <v>15000</v>
      </c>
      <c r="I9" s="12">
        <v>0</v>
      </c>
      <c r="J9" t="s">
        <v>31</v>
      </c>
      <c r="K9" s="7">
        <f>G10*H10</f>
        <v>23000</v>
      </c>
      <c r="L9" s="7">
        <f>K10*(1-I10)</f>
        <v>97090</v>
      </c>
      <c r="M9" t="str">
        <f>IF(L10&gt;=100000,"High","Normal")</f>
        <v>Normal</v>
      </c>
      <c r="N9" s="7">
        <f>ROUND(L10,0)</f>
        <v>29925</v>
      </c>
      <c r="O9" t="str">
        <f>LEFT(A10,3)</f>
        <v>O10</v>
      </c>
      <c r="P9">
        <f>MONTH(B10)</f>
        <v>2</v>
      </c>
      <c r="Q9" s="7" t="e">
        <f ca="1">_xludf.XLOOKUP(E10,Lookup!$A$2:$A$6,Lookup!$C$2:$C$6,"Not Found")</f>
        <v>#NAME?</v>
      </c>
      <c r="R9" t="e">
        <f ca="1">IF(H10&gt;Q10,"Above Standard","Within Standard")</f>
        <v>#NAME?</v>
      </c>
      <c r="S9" t="str">
        <f>IF(J10="Retail","Retail","Corporate")</f>
        <v>Retail</v>
      </c>
      <c r="T9" t="str">
        <f>IF(AND(J10="Corporate",I10&gt;=5%),"Yes","No")</f>
        <v>No</v>
      </c>
      <c r="U9" t="str">
        <f>IF(OR(C10="North",C10="South"),"Flag","No")</f>
        <v>Flag</v>
      </c>
    </row>
    <row r="10" spans="1:21" x14ac:dyDescent="0.2">
      <c r="A10" t="s">
        <v>53</v>
      </c>
      <c r="B10" s="11">
        <v>46066</v>
      </c>
      <c r="C10" t="s">
        <v>22</v>
      </c>
      <c r="D10" t="s">
        <v>49</v>
      </c>
      <c r="E10" t="s">
        <v>35</v>
      </c>
      <c r="F10" t="s">
        <v>36</v>
      </c>
      <c r="G10">
        <v>10</v>
      </c>
      <c r="H10" s="7">
        <v>2300</v>
      </c>
      <c r="I10" s="12">
        <v>0.05</v>
      </c>
      <c r="J10" t="s">
        <v>26</v>
      </c>
      <c r="K10" s="7">
        <f>G14*H14</f>
        <v>102200</v>
      </c>
      <c r="L10" s="7">
        <f>K14*(1-I14)</f>
        <v>29925</v>
      </c>
      <c r="M10" t="str">
        <f>IF(L14&gt;=100000,"High","Normal")</f>
        <v>Normal</v>
      </c>
      <c r="N10" s="7">
        <f>ROUND(L14,0)</f>
        <v>66600</v>
      </c>
      <c r="O10" t="str">
        <f>LEFT(A14,3)</f>
        <v>O10</v>
      </c>
      <c r="P10">
        <f>MONTH(B14)</f>
        <v>3</v>
      </c>
      <c r="Q10" s="7" t="e">
        <f ca="1">_xludf.XLOOKUP(E14,Lookup!$A$2:$A$6,Lookup!$C$2:$C$6,"Not Found")</f>
        <v>#NAME?</v>
      </c>
      <c r="R10" t="e">
        <f ca="1">IF(H14&gt;Q14,"Above Standard","Within Standard")</f>
        <v>#NAME?</v>
      </c>
      <c r="S10" t="str">
        <f>IF(J14="Retail","Retail","Corporate")</f>
        <v>Corporate</v>
      </c>
      <c r="T10" t="str">
        <f>IF(AND(J14="Corporate",I14&gt;=5%),"Yes","No")</f>
        <v>Yes</v>
      </c>
      <c r="U10" t="str">
        <f>IF(OR(C14="North",C14="South"),"Flag","No")</f>
        <v>Flag</v>
      </c>
    </row>
    <row r="11" spans="1:21" x14ac:dyDescent="0.2">
      <c r="A11" t="s">
        <v>42</v>
      </c>
      <c r="B11" s="11">
        <v>46037</v>
      </c>
      <c r="C11" t="s">
        <v>22</v>
      </c>
      <c r="D11" t="s">
        <v>23</v>
      </c>
      <c r="E11" t="s">
        <v>43</v>
      </c>
      <c r="F11" t="s">
        <v>36</v>
      </c>
      <c r="G11">
        <v>20</v>
      </c>
      <c r="H11" s="7">
        <v>900</v>
      </c>
      <c r="I11" s="12">
        <v>0</v>
      </c>
      <c r="J11" t="s">
        <v>26</v>
      </c>
      <c r="K11" s="7">
        <f>G6*H6</f>
        <v>20240</v>
      </c>
      <c r="L11" s="7">
        <f>K6*(1-I6)</f>
        <v>21250</v>
      </c>
      <c r="M11" t="str">
        <f>IF(L6&gt;=100000,"High","Normal")</f>
        <v>Normal</v>
      </c>
      <c r="N11" s="7">
        <f>ROUND(L6,0)</f>
        <v>17100</v>
      </c>
      <c r="O11" t="str">
        <f>LEFT(A6,3)</f>
        <v>O10</v>
      </c>
      <c r="P11">
        <f>MONTH(B6)</f>
        <v>3</v>
      </c>
      <c r="Q11" s="7" t="e">
        <f ca="1">_xludf.XLOOKUP(E6,Lookup!$A$2:$A$6,Lookup!$C$2:$C$6,"Not Found")</f>
        <v>#NAME?</v>
      </c>
      <c r="R11" t="e">
        <f ca="1">IF(H6&gt;Q6,"Above Standard","Within Standard")</f>
        <v>#NAME?</v>
      </c>
      <c r="S11" t="str">
        <f>IF(J6="Retail","Retail","Corporate")</f>
        <v>Retail</v>
      </c>
      <c r="T11" t="str">
        <f>IF(AND(J6="Corporate",I6&gt;=5%),"Yes","No")</f>
        <v>No</v>
      </c>
      <c r="U11" t="str">
        <f>IF(OR(C6="North",C6="South"),"Flag","No")</f>
        <v>No</v>
      </c>
    </row>
    <row r="12" spans="1:21" x14ac:dyDescent="0.2">
      <c r="A12" t="s">
        <v>51</v>
      </c>
      <c r="B12" s="11">
        <v>46058</v>
      </c>
      <c r="C12" t="s">
        <v>33</v>
      </c>
      <c r="D12" t="s">
        <v>34</v>
      </c>
      <c r="E12" t="s">
        <v>24</v>
      </c>
      <c r="F12" t="s">
        <v>25</v>
      </c>
      <c r="G12">
        <v>4</v>
      </c>
      <c r="H12" s="7">
        <v>54500</v>
      </c>
      <c r="I12" s="12">
        <v>0.1</v>
      </c>
      <c r="J12" t="s">
        <v>31</v>
      </c>
      <c r="K12" s="7">
        <f>G12*H12</f>
        <v>218000</v>
      </c>
      <c r="L12" s="7">
        <f>K12*(1-I12)</f>
        <v>196200</v>
      </c>
      <c r="M12" t="str">
        <f>IF(L12&gt;=100000,"High","Normal")</f>
        <v>High</v>
      </c>
      <c r="N12" s="7">
        <f>ROUND(L12,0)</f>
        <v>196200</v>
      </c>
      <c r="O12" t="str">
        <f>LEFT(A12,3)</f>
        <v>O10</v>
      </c>
      <c r="P12">
        <f>MONTH(B12)</f>
        <v>2</v>
      </c>
      <c r="Q12" s="7" t="e">
        <f ca="1">_xludf.XLOOKUP(E12,Lookup!$A$2:$A$6,Lookup!$C$2:$C$6,"Not Found")</f>
        <v>#NAME?</v>
      </c>
      <c r="R12" t="e">
        <f ca="1">IF(H12&gt;Q12,"Above Standard","Within Standard")</f>
        <v>#NAME?</v>
      </c>
      <c r="S12" t="str">
        <f>IF(J12="Retail","Retail","Corporate")</f>
        <v>Corporate</v>
      </c>
      <c r="T12" t="str">
        <f>IF(AND(J12="Corporate",I12&gt;=5%),"Yes","No")</f>
        <v>Yes</v>
      </c>
      <c r="U12" t="str">
        <f>IF(OR(C12="North",C12="South"),"Flag","No")</f>
        <v>Flag</v>
      </c>
    </row>
    <row r="13" spans="1:21" x14ac:dyDescent="0.2">
      <c r="A13" t="s">
        <v>46</v>
      </c>
      <c r="B13" s="11">
        <v>46043</v>
      </c>
      <c r="C13" t="s">
        <v>33</v>
      </c>
      <c r="D13" t="s">
        <v>34</v>
      </c>
      <c r="E13" t="s">
        <v>30</v>
      </c>
      <c r="F13" t="s">
        <v>25</v>
      </c>
      <c r="G13">
        <v>7</v>
      </c>
      <c r="H13" s="7">
        <v>17500</v>
      </c>
      <c r="I13" s="12">
        <v>0.05</v>
      </c>
      <c r="J13" t="s">
        <v>26</v>
      </c>
      <c r="K13" s="7">
        <f>G8*H8</f>
        <v>107400</v>
      </c>
      <c r="L13" s="7">
        <f>K8*(1-I8)</f>
        <v>90000</v>
      </c>
      <c r="M13" t="str">
        <f>IF(L8&gt;=100000,"High","Normal")</f>
        <v>High</v>
      </c>
      <c r="N13" s="7">
        <f>ROUND(L8,0)</f>
        <v>145600</v>
      </c>
      <c r="O13" t="str">
        <f>LEFT(A8,3)</f>
        <v>O10</v>
      </c>
      <c r="P13">
        <f>MONTH(B8)</f>
        <v>3</v>
      </c>
      <c r="Q13" s="7" t="e">
        <f ca="1">_xludf.XLOOKUP(E8,Lookup!$A$2:$A$6,Lookup!$C$2:$C$6,"Not Found")</f>
        <v>#NAME?</v>
      </c>
      <c r="R13" t="e">
        <f ca="1">IF(H8&gt;Q8,"Above Standard","Within Standard")</f>
        <v>#NAME?</v>
      </c>
      <c r="S13" t="str">
        <f>IF(J8="Retail","Retail","Corporate")</f>
        <v>Retail</v>
      </c>
      <c r="T13" t="str">
        <f>IF(AND(J8="Corporate",I8&gt;=5%),"Yes","No")</f>
        <v>No</v>
      </c>
      <c r="U13" t="str">
        <f>IF(OR(C8="North",C8="South"),"Flag","No")</f>
        <v>Flag</v>
      </c>
    </row>
    <row r="14" spans="1:21" x14ac:dyDescent="0.2">
      <c r="A14" t="s">
        <v>59</v>
      </c>
      <c r="B14" s="11">
        <v>46095</v>
      </c>
      <c r="C14" t="s">
        <v>33</v>
      </c>
      <c r="D14" t="s">
        <v>34</v>
      </c>
      <c r="E14" t="s">
        <v>40</v>
      </c>
      <c r="F14" t="s">
        <v>41</v>
      </c>
      <c r="G14">
        <v>7</v>
      </c>
      <c r="H14" s="7">
        <v>14600</v>
      </c>
      <c r="I14" s="12">
        <v>0.05</v>
      </c>
      <c r="J14" t="s">
        <v>31</v>
      </c>
      <c r="K14" s="7">
        <f>G20*H20</f>
        <v>31500</v>
      </c>
      <c r="L14" s="7">
        <f>K20*(1-I20)</f>
        <v>66600</v>
      </c>
      <c r="M14" t="str">
        <f>IF(L20&gt;=100000,"High","Normal")</f>
        <v>Normal</v>
      </c>
      <c r="N14" s="7">
        <f>ROUND(L20,0)</f>
        <v>24288</v>
      </c>
      <c r="O14" t="str">
        <f>LEFT(A20,3)</f>
        <v>O10</v>
      </c>
      <c r="P14">
        <f>MONTH(B20)</f>
        <v>3</v>
      </c>
      <c r="Q14" s="7" t="e">
        <f ca="1">_xludf.XLOOKUP(E20,Lookup!$A$2:$A$6,Lookup!$C$2:$C$6,"Not Found")</f>
        <v>#NAME?</v>
      </c>
      <c r="R14" t="e">
        <f ca="1">IF(H20&gt;Q20,"Above Standard","Within Standard")</f>
        <v>#NAME?</v>
      </c>
      <c r="S14" t="str">
        <f>IF(J20="Retail","Retail","Corporate")</f>
        <v>Retail</v>
      </c>
      <c r="T14" t="str">
        <f>IF(AND(J20="Corporate",I20&gt;=5%),"Yes","No")</f>
        <v>No</v>
      </c>
      <c r="U14" t="str">
        <f>IF(OR(C20="North",C20="South"),"Flag","No")</f>
        <v>No</v>
      </c>
    </row>
    <row r="15" spans="1:21" x14ac:dyDescent="0.2">
      <c r="A15" t="s">
        <v>32</v>
      </c>
      <c r="B15" s="11">
        <v>46031</v>
      </c>
      <c r="C15" t="s">
        <v>33</v>
      </c>
      <c r="D15" t="s">
        <v>34</v>
      </c>
      <c r="E15" t="s">
        <v>35</v>
      </c>
      <c r="F15" t="s">
        <v>36</v>
      </c>
      <c r="G15">
        <v>12</v>
      </c>
      <c r="H15" s="7">
        <v>2200</v>
      </c>
      <c r="I15" s="12">
        <v>0.1</v>
      </c>
      <c r="J15" t="s">
        <v>26</v>
      </c>
      <c r="K15" s="7">
        <f>G4*H4</f>
        <v>58000</v>
      </c>
      <c r="L15" s="7">
        <f>K4*(1-I4)</f>
        <v>29925</v>
      </c>
      <c r="M15" t="str">
        <f>IF(L4&gt;=100000,"High","Normal")</f>
        <v>Normal</v>
      </c>
      <c r="N15" s="7">
        <f>ROUND(L4,0)</f>
        <v>81000</v>
      </c>
      <c r="O15" t="str">
        <f>LEFT(A4,3)</f>
        <v>O10</v>
      </c>
      <c r="P15">
        <f>MONTH(B4)</f>
        <v>1</v>
      </c>
      <c r="Q15" s="7" t="e">
        <f ca="1">_xludf.XLOOKUP(E4,Lookup!$A$2:$A$6,Lookup!$C$2:$C$6,"Not Found")</f>
        <v>#NAME?</v>
      </c>
      <c r="R15" t="e">
        <f ca="1">IF(H4&gt;Q4,"Above Standard","Within Standard")</f>
        <v>#NAME?</v>
      </c>
      <c r="S15" t="str">
        <f>IF(J4="Retail","Retail","Corporate")</f>
        <v>Corporate</v>
      </c>
      <c r="T15" t="str">
        <f>IF(AND(J4="Corporate",I4&gt;=5%),"Yes","No")</f>
        <v>Yes</v>
      </c>
      <c r="U15" t="str">
        <f>IF(OR(C4="North",C4="South"),"Flag","No")</f>
        <v>No</v>
      </c>
    </row>
    <row r="16" spans="1:21" x14ac:dyDescent="0.2">
      <c r="A16" t="s">
        <v>55</v>
      </c>
      <c r="B16" s="11">
        <v>46074</v>
      </c>
      <c r="C16" t="s">
        <v>33</v>
      </c>
      <c r="D16" t="s">
        <v>34</v>
      </c>
      <c r="E16" t="s">
        <v>43</v>
      </c>
      <c r="F16" t="s">
        <v>36</v>
      </c>
      <c r="G16">
        <v>18</v>
      </c>
      <c r="H16" s="7">
        <v>880</v>
      </c>
      <c r="I16" s="12">
        <v>0</v>
      </c>
      <c r="J16" t="s">
        <v>26</v>
      </c>
      <c r="K16" s="7">
        <f>G16*H16</f>
        <v>15840</v>
      </c>
      <c r="L16" s="7">
        <f>K16*(1-I16)</f>
        <v>15840</v>
      </c>
      <c r="M16" t="str">
        <f>IF(L16&gt;=100000,"High","Normal")</f>
        <v>Normal</v>
      </c>
      <c r="N16" s="7">
        <f>ROUND(L16,0)</f>
        <v>15840</v>
      </c>
      <c r="O16" t="str">
        <f>LEFT(A16,3)</f>
        <v>O10</v>
      </c>
      <c r="P16">
        <f>MONTH(B16)</f>
        <v>2</v>
      </c>
      <c r="Q16" s="7" t="e">
        <f ca="1">_xludf.XLOOKUP(E16,Lookup!$A$2:$A$6,Lookup!$C$2:$C$6,"Not Found")</f>
        <v>#NAME?</v>
      </c>
      <c r="R16" t="e">
        <f ca="1">IF(H16&gt;Q16,"Above Standard","Within Standard")</f>
        <v>#NAME?</v>
      </c>
      <c r="S16" t="str">
        <f>IF(J16="Retail","Retail","Corporate")</f>
        <v>Retail</v>
      </c>
      <c r="T16" t="str">
        <f>IF(AND(J16="Corporate",I16&gt;=5%),"Yes","No")</f>
        <v>No</v>
      </c>
      <c r="U16" t="str">
        <f>IF(OR(C16="North",C16="South"),"Flag","No")</f>
        <v>Flag</v>
      </c>
    </row>
    <row r="17" spans="1:21" x14ac:dyDescent="0.2">
      <c r="A17" t="s">
        <v>44</v>
      </c>
      <c r="B17" s="11">
        <v>46040</v>
      </c>
      <c r="C17" t="s">
        <v>28</v>
      </c>
      <c r="D17" t="s">
        <v>45</v>
      </c>
      <c r="E17" t="s">
        <v>24</v>
      </c>
      <c r="F17" t="s">
        <v>25</v>
      </c>
      <c r="G17">
        <v>2</v>
      </c>
      <c r="H17" s="7">
        <v>56000</v>
      </c>
      <c r="I17" s="12">
        <v>0.08</v>
      </c>
      <c r="J17" t="s">
        <v>31</v>
      </c>
      <c r="K17" s="7">
        <f>G7*H7</f>
        <v>165000</v>
      </c>
      <c r="L17" s="7">
        <f>K7*(1-I7)</f>
        <v>162450</v>
      </c>
      <c r="M17" t="str">
        <f>IF(L7&gt;=100000,"High","Normal")</f>
        <v>High</v>
      </c>
      <c r="N17" s="7">
        <f>ROUND(L7,0)</f>
        <v>106400</v>
      </c>
      <c r="O17" t="str">
        <f>LEFT(A7,3)</f>
        <v>O10</v>
      </c>
      <c r="P17">
        <f>MONTH(B7)</f>
        <v>1</v>
      </c>
      <c r="Q17" s="7" t="e">
        <f ca="1">_xludf.XLOOKUP(E7,Lookup!$A$2:$A$6,Lookup!$C$2:$C$6,"Not Found")</f>
        <v>#NAME?</v>
      </c>
      <c r="R17" t="e">
        <f ca="1">IF(H7&gt;Q7,"Above Standard","Within Standard")</f>
        <v>#NAME?</v>
      </c>
      <c r="S17" t="str">
        <f>IF(J7="Retail","Retail","Corporate")</f>
        <v>Retail</v>
      </c>
      <c r="T17" t="str">
        <f>IF(AND(J7="Corporate",I7&gt;=5%),"Yes","No")</f>
        <v>No</v>
      </c>
      <c r="U17" t="str">
        <f>IF(OR(C7="North",C7="South"),"Flag","No")</f>
        <v>Flag</v>
      </c>
    </row>
    <row r="18" spans="1:21" x14ac:dyDescent="0.2">
      <c r="A18" t="s">
        <v>27</v>
      </c>
      <c r="B18" s="11">
        <v>46029</v>
      </c>
      <c r="C18" t="s">
        <v>28</v>
      </c>
      <c r="D18" t="s">
        <v>29</v>
      </c>
      <c r="E18" t="s">
        <v>30</v>
      </c>
      <c r="F18" t="s">
        <v>25</v>
      </c>
      <c r="G18">
        <v>5</v>
      </c>
      <c r="H18" s="7">
        <v>18000</v>
      </c>
      <c r="I18" s="12">
        <v>0</v>
      </c>
      <c r="J18" t="s">
        <v>31</v>
      </c>
      <c r="K18" s="7">
        <f>G3*H3</f>
        <v>145600</v>
      </c>
      <c r="L18" s="7">
        <f>K3*(1-I3)</f>
        <v>122500</v>
      </c>
      <c r="M18" t="str">
        <f>IF(L3&gt;=100000,"High","Normal")</f>
        <v>High</v>
      </c>
      <c r="N18" s="7">
        <f>ROUND(L3,0)</f>
        <v>102030</v>
      </c>
      <c r="O18" t="str">
        <f>LEFT(A3,3)</f>
        <v>O10</v>
      </c>
      <c r="P18">
        <f>MONTH(B3)</f>
        <v>2</v>
      </c>
      <c r="Q18" s="7" t="e">
        <f ca="1">_xludf.XLOOKUP(E3,Lookup!$A$2:$A$6,Lookup!$C$2:$C$6,"Not Found")</f>
        <v>#NAME?</v>
      </c>
      <c r="R18" t="e">
        <f ca="1">IF(H3&gt;Q3,"Above Standard","Within Standard")</f>
        <v>#NAME?</v>
      </c>
      <c r="S18" t="str">
        <f>IF(J3="Retail","Retail","Corporate")</f>
        <v>Retail</v>
      </c>
      <c r="T18" t="str">
        <f>IF(AND(J3="Corporate",I3&gt;=5%),"Yes","No")</f>
        <v>No</v>
      </c>
      <c r="U18" t="str">
        <f>IF(OR(C3="North",C3="South"),"Flag","No")</f>
        <v>No</v>
      </c>
    </row>
    <row r="19" spans="1:21" x14ac:dyDescent="0.2">
      <c r="A19" t="s">
        <v>54</v>
      </c>
      <c r="B19" s="11">
        <v>46070</v>
      </c>
      <c r="C19" t="s">
        <v>28</v>
      </c>
      <c r="D19" t="s">
        <v>45</v>
      </c>
      <c r="E19" t="s">
        <v>40</v>
      </c>
      <c r="F19" t="s">
        <v>41</v>
      </c>
      <c r="G19">
        <v>5</v>
      </c>
      <c r="H19" s="7">
        <v>14800</v>
      </c>
      <c r="I19" s="12">
        <v>0.08</v>
      </c>
      <c r="J19" t="s">
        <v>31</v>
      </c>
      <c r="K19" s="7">
        <f>G15*H15</f>
        <v>26400</v>
      </c>
      <c r="L19" s="7">
        <f>K15*(1-I15)</f>
        <v>52200</v>
      </c>
      <c r="M19" t="str">
        <f>IF(L15&gt;=100000,"High","Normal")</f>
        <v>Normal</v>
      </c>
      <c r="N19" s="7">
        <f>ROUND(L15,0)</f>
        <v>29925</v>
      </c>
      <c r="O19" t="str">
        <f>LEFT(A15,3)</f>
        <v>O10</v>
      </c>
      <c r="P19">
        <f>MONTH(B15)</f>
        <v>1</v>
      </c>
      <c r="Q19" s="7" t="e">
        <f ca="1">_xludf.XLOOKUP(E15,Lookup!$A$2:$A$6,Lookup!$C$2:$C$6,"Not Found")</f>
        <v>#NAME?</v>
      </c>
      <c r="R19" t="e">
        <f ca="1">IF(H15&gt;Q15,"Above Standard","Within Standard")</f>
        <v>#NAME?</v>
      </c>
      <c r="S19" t="str">
        <f>IF(J15="Retail","Retail","Corporate")</f>
        <v>Retail</v>
      </c>
      <c r="T19" t="str">
        <f>IF(AND(J15="Corporate",I15&gt;=5%),"Yes","No")</f>
        <v>No</v>
      </c>
      <c r="U19" t="str">
        <f>IF(OR(C15="North",C15="South"),"Flag","No")</f>
        <v>Flag</v>
      </c>
    </row>
    <row r="20" spans="1:21" x14ac:dyDescent="0.2">
      <c r="A20" t="s">
        <v>58</v>
      </c>
      <c r="B20" s="11">
        <v>46089</v>
      </c>
      <c r="C20" t="s">
        <v>28</v>
      </c>
      <c r="D20" t="s">
        <v>45</v>
      </c>
      <c r="E20" t="s">
        <v>35</v>
      </c>
      <c r="F20" t="s">
        <v>36</v>
      </c>
      <c r="G20">
        <v>14</v>
      </c>
      <c r="H20" s="7">
        <v>2250</v>
      </c>
      <c r="I20" s="12">
        <v>0.1</v>
      </c>
      <c r="J20" t="s">
        <v>26</v>
      </c>
      <c r="K20" s="7">
        <f>G19*H19</f>
        <v>74000</v>
      </c>
      <c r="L20" s="7">
        <f>K19*(1-I19)</f>
        <v>24288</v>
      </c>
      <c r="M20" t="str">
        <f>IF(L19&gt;=100000,"High","Normal")</f>
        <v>Normal</v>
      </c>
      <c r="N20" s="7">
        <f>ROUND(L19,0)</f>
        <v>52200</v>
      </c>
      <c r="O20" t="str">
        <f>LEFT(A19,3)</f>
        <v>O10</v>
      </c>
      <c r="P20">
        <f>MONTH(B19)</f>
        <v>2</v>
      </c>
      <c r="Q20" s="7" t="e">
        <f ca="1">_xludf.XLOOKUP(E19,Lookup!$A$2:$A$6,Lookup!$C$2:$C$6,"Not Found")</f>
        <v>#NAME?</v>
      </c>
      <c r="R20" t="e">
        <f ca="1">IF(H19&gt;Q19,"Above Standard","Within Standard")</f>
        <v>#NAME?</v>
      </c>
      <c r="S20" t="str">
        <f>IF(J19="Retail","Retail","Corporate")</f>
        <v>Corporate</v>
      </c>
      <c r="T20" t="str">
        <f>IF(AND(J19="Corporate",I19&gt;=5%),"Yes","No")</f>
        <v>Yes</v>
      </c>
      <c r="U20" t="str">
        <f>IF(OR(C19="North",C19="South"),"Flag","No")</f>
        <v>No</v>
      </c>
    </row>
    <row r="21" spans="1:21" x14ac:dyDescent="0.2">
      <c r="A21" t="s">
        <v>50</v>
      </c>
      <c r="B21" s="11">
        <v>46055</v>
      </c>
      <c r="C21" t="s">
        <v>28</v>
      </c>
      <c r="D21" t="s">
        <v>45</v>
      </c>
      <c r="E21" t="s">
        <v>43</v>
      </c>
      <c r="F21" t="s">
        <v>36</v>
      </c>
      <c r="G21">
        <v>25</v>
      </c>
      <c r="H21" s="7">
        <v>850</v>
      </c>
      <c r="I21" s="12">
        <v>0.05</v>
      </c>
      <c r="J21" t="s">
        <v>26</v>
      </c>
      <c r="K21" s="7">
        <f>G11*H11</f>
        <v>18000</v>
      </c>
      <c r="L21" s="7">
        <f>K11*(1-I11)</f>
        <v>20240</v>
      </c>
      <c r="M21" t="str">
        <f>IF(L11&gt;=100000,"High","Normal")</f>
        <v>Normal</v>
      </c>
      <c r="N21" s="7">
        <f>ROUND(L11,0)</f>
        <v>21250</v>
      </c>
      <c r="O21" t="str">
        <f>LEFT(A11,3)</f>
        <v>O10</v>
      </c>
      <c r="P21">
        <f>MONTH(B11)</f>
        <v>1</v>
      </c>
      <c r="Q21" s="7" t="e">
        <f ca="1">_xludf.XLOOKUP(E11,Lookup!$A$2:$A$6,Lookup!$C$2:$C$6,"Not Found")</f>
        <v>#NAME?</v>
      </c>
      <c r="R21" t="e">
        <f ca="1">IF(H11&gt;Q11,"Above Standard","Within Standard")</f>
        <v>#NAME?</v>
      </c>
      <c r="S21" t="str">
        <f>IF(J11="Retail","Retail","Corporate")</f>
        <v>Retail</v>
      </c>
      <c r="T21" t="str">
        <f>IF(AND(J11="Corporate",I11&gt;=5%),"Yes","No")</f>
        <v>No</v>
      </c>
      <c r="U21" t="str">
        <f>IF(OR(C11="North",C11="South"),"Flag","No")</f>
        <v>Flag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2" width="14.9296875" customWidth="1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">
      <c r="A2" t="s">
        <v>27</v>
      </c>
      <c r="B2" s="11">
        <v>46029</v>
      </c>
      <c r="C2" t="s">
        <v>28</v>
      </c>
      <c r="D2" t="s">
        <v>29</v>
      </c>
      <c r="E2" t="s">
        <v>30</v>
      </c>
      <c r="F2" t="s">
        <v>25</v>
      </c>
      <c r="G2">
        <v>5</v>
      </c>
      <c r="H2" s="7">
        <v>18000</v>
      </c>
      <c r="I2" s="12">
        <v>0</v>
      </c>
      <c r="J2" t="s">
        <v>31</v>
      </c>
      <c r="K2" s="7">
        <f>G2*H2</f>
        <v>90000</v>
      </c>
      <c r="L2" s="7">
        <f>K2*(1-I2)</f>
        <v>90000</v>
      </c>
    </row>
    <row r="3" spans="1:21" x14ac:dyDescent="0.2">
      <c r="A3" t="s">
        <v>44</v>
      </c>
      <c r="B3" s="11">
        <v>46040</v>
      </c>
      <c r="C3" t="s">
        <v>28</v>
      </c>
      <c r="D3" t="s">
        <v>45</v>
      </c>
      <c r="E3" t="s">
        <v>24</v>
      </c>
      <c r="F3" t="s">
        <v>25</v>
      </c>
      <c r="G3">
        <v>2</v>
      </c>
      <c r="H3" s="7">
        <v>56000</v>
      </c>
      <c r="I3" s="12">
        <v>0.08</v>
      </c>
      <c r="J3" t="s">
        <v>31</v>
      </c>
      <c r="K3" s="7">
        <f>G3*H3</f>
        <v>112000</v>
      </c>
      <c r="L3" s="7">
        <f>K3*(1-I3)</f>
        <v>103040</v>
      </c>
    </row>
    <row r="4" spans="1:21" x14ac:dyDescent="0.2">
      <c r="A4" t="s">
        <v>48</v>
      </c>
      <c r="B4" s="11">
        <v>46050</v>
      </c>
      <c r="C4" t="s">
        <v>22</v>
      </c>
      <c r="D4" t="s">
        <v>49</v>
      </c>
      <c r="E4" t="s">
        <v>40</v>
      </c>
      <c r="F4" t="s">
        <v>41</v>
      </c>
      <c r="G4">
        <v>6</v>
      </c>
      <c r="H4" s="7">
        <v>15000</v>
      </c>
      <c r="I4" s="12">
        <v>0</v>
      </c>
      <c r="J4" t="s">
        <v>31</v>
      </c>
      <c r="K4" s="7">
        <f>G4*H4</f>
        <v>90000</v>
      </c>
      <c r="L4" s="7">
        <f>K4*(1-I4)</f>
        <v>90000</v>
      </c>
    </row>
    <row r="5" spans="1:21" x14ac:dyDescent="0.2">
      <c r="A5" t="s">
        <v>54</v>
      </c>
      <c r="B5" s="11">
        <v>46070</v>
      </c>
      <c r="C5" t="s">
        <v>28</v>
      </c>
      <c r="D5" t="s">
        <v>45</v>
      </c>
      <c r="E5" t="s">
        <v>40</v>
      </c>
      <c r="F5" t="s">
        <v>41</v>
      </c>
      <c r="G5">
        <v>5</v>
      </c>
      <c r="H5" s="7">
        <v>14800</v>
      </c>
      <c r="I5" s="12">
        <v>0.08</v>
      </c>
      <c r="J5" t="s">
        <v>31</v>
      </c>
      <c r="K5" s="7">
        <f>G5*H5</f>
        <v>74000</v>
      </c>
      <c r="L5" s="7">
        <f>K5*(1-I5)</f>
        <v>68080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Lookup</vt:lpstr>
      <vt:lpstr>Answers</vt:lpstr>
      <vt:lpstr>PivotTables</vt:lpstr>
      <vt:lpstr>SortedData</vt:lpstr>
      <vt:lpstr>NorthWestCorporate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Gangwar</cp:lastModifiedBy>
  <dcterms:created xsi:type="dcterms:W3CDTF">2026-09-10T07:37:34Z</dcterms:created>
  <dcterms:modified xsi:type="dcterms:W3CDTF">2026-09-10T13:43:45Z</dcterms:modified>
</cp:coreProperties>
</file>